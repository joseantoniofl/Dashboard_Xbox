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50a9abade8ee7f/José Antonio/Academia/Excel Santander/"/>
    </mc:Choice>
  </mc:AlternateContent>
  <xr:revisionPtr revIDLastSave="352" documentId="13_ncr:1_{3C2F8ED6-40B2-4E08-832A-7140AC03FA60}" xr6:coauthVersionLast="47" xr6:coauthVersionMax="47" xr10:uidLastSave="{2D24E15B-A009-49F5-B9C4-BFB509EA9B3E}"/>
  <bookViews>
    <workbookView xWindow="-120" yWindow="-120" windowWidth="29040" windowHeight="15720" tabRatio="3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3" l="1"/>
  <c r="C16" i="3"/>
  <c r="D8" i="3"/>
</calcChain>
</file>

<file path=xl/sharedStrings.xml><?xml version="1.0" encoding="utf-8"?>
<sst xmlns="http://schemas.openxmlformats.org/spreadsheetml/2006/main" count="2007" uniqueCount="320">
  <si>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</si>
  <si>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</si>
  <si>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</si>
  <si>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</si>
  <si>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</si>
  <si>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</si>
  <si>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</si>
  <si>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</si>
  <si>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</si>
  <si>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</si>
  <si>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</si>
  <si>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</si>
  <si>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</si>
  <si>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</si>
  <si>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</si>
  <si>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</si>
  <si>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</si>
  <si>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</si>
  <si>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</si>
  <si>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</si>
  <si>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</si>
  <si>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</si>
  <si>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</si>
  <si>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</si>
  <si>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</si>
  <si>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</si>
  <si>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</si>
  <si>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</si>
  <si>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</si>
  <si>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</si>
  <si>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</si>
  <si>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</si>
  <si>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</si>
  <si>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</si>
  <si>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</si>
  <si>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</si>
  <si>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</si>
  <si>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</si>
  <si>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</si>
  <si>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</si>
  <si>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</si>
  <si>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</si>
  <si>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</si>
  <si>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</si>
  <si>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</si>
  <si>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</si>
  <si>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</si>
  <si>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</si>
  <si>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</si>
  <si>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</si>
  <si>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</si>
  <si>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</si>
  <si>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</si>
  <si>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</si>
  <si>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</si>
  <si>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</si>
  <si>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</si>
  <si>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</si>
  <si>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</si>
  <si>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</si>
  <si>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</si>
  <si>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</si>
  <si>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</si>
  <si>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</si>
  <si>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</si>
  <si>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</si>
  <si>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</si>
  <si>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</si>
  <si>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</si>
  <si>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</si>
  <si>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</si>
  <si>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</si>
  <si>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</si>
  <si>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</si>
  <si>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</si>
  <si>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</si>
  <si>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</si>
  <si>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</si>
  <si>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</si>
  <si>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</si>
  <si>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</si>
  <si>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</si>
  <si>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</si>
  <si>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</si>
  <si>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</si>
  <si>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</si>
  <si>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</si>
  <si>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</si>
  <si>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</si>
  <si>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</si>
  <si>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</si>
  <si>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</si>
  <si>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</si>
  <si>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</si>
  <si>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</si>
  <si>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</si>
  <si>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</si>
  <si>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</si>
  <si>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</si>
  <si>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</si>
  <si>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</si>
  <si>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</si>
  <si>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</si>
  <si>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</si>
  <si>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</si>
  <si>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</si>
  <si>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</si>
  <si>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</si>
  <si>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</si>
  <si>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</si>
  <si>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</si>
  <si>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</si>
  <si>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</si>
  <si>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</si>
  <si>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</si>
  <si>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</si>
  <si>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</si>
  <si>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</si>
  <si>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</si>
  <si>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</si>
  <si>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</si>
  <si>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</si>
  <si>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</si>
  <si>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</si>
  <si>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</si>
  <si>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</si>
  <si>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</si>
  <si>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</si>
  <si>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</si>
  <si>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</si>
  <si>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</si>
  <si>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</si>
  <si>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</si>
  <si>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</si>
  <si>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</si>
  <si>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</si>
  <si>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</si>
  <si>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</si>
  <si>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</si>
  <si>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</si>
  <si>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</si>
  <si>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</si>
  <si>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</si>
  <si>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</si>
  <si>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</si>
  <si>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</si>
  <si>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</si>
  <si>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</si>
  <si>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</si>
  <si>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</si>
  <si>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</si>
  <si>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</si>
  <si>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</si>
  <si>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</si>
  <si>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</si>
  <si>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</si>
  <si>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</si>
  <si>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</si>
  <si>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</si>
  <si>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</si>
  <si>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</si>
  <si>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</si>
  <si>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</si>
  <si>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</si>
  <si>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</si>
  <si>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</si>
  <si>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</si>
  <si>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</si>
  <si>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</si>
  <si>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</si>
  <si>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</si>
  <si>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</si>
  <si>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</si>
  <si>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</si>
  <si>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</si>
  <si>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</si>
  <si>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</si>
  <si>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</si>
  <si>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</si>
  <si>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</si>
  <si>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</si>
  <si>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</si>
  <si>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</si>
  <si>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</si>
  <si>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</si>
  <si>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</si>
  <si>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</si>
  <si>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</si>
  <si>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</si>
  <si>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</si>
  <si>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</si>
  <si>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</si>
  <si>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</si>
  <si>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</si>
  <si>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</si>
  <si>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</si>
  <si>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</si>
  <si>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</si>
  <si>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</si>
  <si>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</si>
  <si>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</si>
  <si>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</si>
  <si>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</si>
  <si>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</si>
  <si>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</si>
  <si>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</si>
  <si>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</si>
  <si>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</si>
  <si>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</si>
  <si>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</si>
  <si>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</si>
  <si>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</si>
  <si>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</si>
  <si>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</si>
  <si>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</si>
  <si>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</si>
  <si>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</si>
  <si>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</si>
  <si>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</si>
  <si>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</si>
  <si>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</si>
  <si>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</si>
  <si>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</si>
  <si>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</si>
  <si>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</si>
  <si>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</si>
  <si>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</si>
  <si>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</si>
  <si>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</si>
  <si>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</si>
  <si>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</si>
  <si>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</si>
  <si>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</si>
  <si>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</si>
  <si>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</si>
  <si>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</si>
  <si>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</si>
  <si>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</si>
  <si>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</si>
  <si>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</si>
  <si>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</si>
  <si>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</si>
  <si>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</si>
  <si>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</si>
  <si>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</si>
  <si>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</si>
  <si>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</si>
  <si>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</si>
  <si>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</si>
  <si>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</si>
  <si>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</si>
  <si>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</si>
  <si>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</si>
  <si>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</si>
  <si>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</si>
  <si>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</si>
  <si>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</si>
  <si>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</si>
  <si>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</si>
  <si>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</si>
  <si>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</si>
  <si>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</si>
  <si>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</si>
  <si>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</si>
  <si>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</si>
  <si>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</si>
  <si>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</si>
  <si>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</si>
  <si>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</si>
  <si>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</si>
  <si>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</si>
  <si>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</si>
  <si>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</si>
  <si>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</si>
  <si>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</si>
  <si>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</si>
  <si>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</si>
  <si>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</si>
  <si>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</si>
  <si>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</si>
  <si>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</si>
  <si>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</si>
  <si>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</si>
  <si>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</si>
  <si>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</si>
  <si>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</si>
  <si>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</si>
  <si>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</si>
  <si>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</si>
  <si>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</si>
  <si>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</si>
  <si>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</si>
  <si>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</si>
  <si>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</si>
  <si>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</si>
  <si>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</si>
  <si>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</si>
  <si>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</si>
  <si>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</si>
  <si>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</si>
  <si>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</si>
  <si>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</si>
  <si>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</si>
  <si>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</si>
  <si>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</si>
  <si>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</si>
  <si>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</si>
  <si>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</si>
  <si>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</si>
  <si>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</si>
  <si>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</si>
  <si>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</si>
  <si>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</si>
  <si>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</si>
  <si>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</si>
  <si>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</si>
  <si>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Soma de EA Play Season Pass</t>
  </si>
  <si>
    <t>XBOX GAME PASS SUBSCRIPTIONS SALES</t>
  </si>
  <si>
    <t>Soma de Minecraft Season Pass Price</t>
  </si>
  <si>
    <t>BEM VINDO, JOSÉ ANTONIO!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</si>
</sst>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 Black"/>
      <family val="2"/>
    </font>
    <font>
      <b/>
      <sz val="11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5" fillId="4" borderId="0" xfId="0" applyFont="1" applyFill="1" applyAlignment="1">
      <alignment horizontal="center" vertical="center"/>
    </xf>
    <xf numFmtId="0" fontId="4" fillId="0" borderId="2" xfId="1" applyFont="1" applyBorder="1" applyAlignment="1">
      <alignment horizontal="left" vertical="center" indent="2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  <name val="Segoe UI Light"/>
        <family val="2"/>
        <scheme val="none"/>
      </font>
      <border>
        <top style="thick">
          <color theme="9"/>
        </top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egmentação Menu" pivot="0" table="0" count="10" xr9:uid="{223DB51B-26F0-40A5-97B5-AF05275CCA64}">
      <tableStyleElement type="wholeTable" dxfId="15"/>
      <tableStyleElement type="headerRow" dxfId="14"/>
    </tableStyle>
  </tableStyles>
  <colors>
    <mruColors>
      <color rgb="FF22C55E"/>
      <color rgb="FFE8E6E9"/>
      <color rgb="FF2AE6B1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rgb="FF2AE6B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egmentação Menu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de Dashboard.xlsx]C̳álculos!Tabela dinâmica1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C̳álculos!$B$6:$B$8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C̳álculos!$C$6:$C$8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B-4D50-AFB9-A65346A5BA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6269520"/>
        <c:axId val="188629424"/>
      </c:barChart>
      <c:catAx>
        <c:axId val="22626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22C55E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88629424"/>
        <c:crosses val="autoZero"/>
        <c:auto val="1"/>
        <c:lblAlgn val="ctr"/>
        <c:lblOffset val="100"/>
        <c:noMultiLvlLbl val="0"/>
      </c:catAx>
      <c:valAx>
        <c:axId val="18862942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2626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22831</xdr:colOff>
      <xdr:row>0</xdr:row>
      <xdr:rowOff>123825</xdr:rowOff>
    </xdr:from>
    <xdr:to>
      <xdr:col>3</xdr:col>
      <xdr:colOff>171451</xdr:colOff>
      <xdr:row>4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667E56-6950-4105-B9C6-B51A2AFE5D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21" t="20500" r="72607" b="20797"/>
        <a:stretch>
          <a:fillRect/>
        </a:stretch>
      </xdr:blipFill>
      <xdr:spPr>
        <a:xfrm>
          <a:off x="2442181" y="123825"/>
          <a:ext cx="758220" cy="809625"/>
        </a:xfrm>
        <a:prstGeom prst="rect">
          <a:avLst/>
        </a:prstGeom>
      </xdr:spPr>
    </xdr:pic>
    <xdr:clientData/>
  </xdr:twoCellAnchor>
  <xdr:twoCellAnchor editAs="absolute">
    <xdr:from>
      <xdr:col>2</xdr:col>
      <xdr:colOff>280987</xdr:colOff>
      <xdr:row>6</xdr:row>
      <xdr:rowOff>36443</xdr:rowOff>
    </xdr:from>
    <xdr:to>
      <xdr:col>8</xdr:col>
      <xdr:colOff>223387</xdr:colOff>
      <xdr:row>13</xdr:row>
      <xdr:rowOff>110573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9C958E5D-D806-5195-2B02-97A2952F2C97}"/>
            </a:ext>
          </a:extLst>
        </xdr:cNvPr>
        <xdr:cNvGrpSpPr/>
      </xdr:nvGrpSpPr>
      <xdr:grpSpPr>
        <a:xfrm>
          <a:off x="2706199" y="1238058"/>
          <a:ext cx="3591207" cy="1407630"/>
          <a:chOff x="1917424" y="1417568"/>
          <a:chExt cx="3600000" cy="1407630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2CFE26B1-BD18-D65F-6D41-4FC158AC502B}"/>
              </a:ext>
            </a:extLst>
          </xdr:cNvPr>
          <xdr:cNvSpPr/>
        </xdr:nvSpPr>
        <xdr:spPr>
          <a:xfrm>
            <a:off x="1917424" y="1417568"/>
            <a:ext cx="3600000" cy="1260000"/>
          </a:xfrm>
          <a:prstGeom prst="roundRect">
            <a:avLst>
              <a:gd name="adj" fmla="val 1349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Retângulo: Cantos Superiores Arredondados 3">
            <a:extLst>
              <a:ext uri="{FF2B5EF4-FFF2-40B4-BE49-F238E27FC236}">
                <a16:creationId xmlns:a16="http://schemas.microsoft.com/office/drawing/2014/main" id="{916B9E25-3AF2-1478-E176-189E13EEA0C8}"/>
              </a:ext>
            </a:extLst>
          </xdr:cNvPr>
          <xdr:cNvSpPr/>
        </xdr:nvSpPr>
        <xdr:spPr>
          <a:xfrm>
            <a:off x="1918666" y="1417568"/>
            <a:ext cx="3597516" cy="360000"/>
          </a:xfrm>
          <a:prstGeom prst="round2SameRect">
            <a:avLst>
              <a:gd name="adj1" fmla="val 32884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6" name="Imagem 5">
            <a:extLst>
              <a:ext uri="{FF2B5EF4-FFF2-40B4-BE49-F238E27FC236}">
                <a16:creationId xmlns:a16="http://schemas.microsoft.com/office/drawing/2014/main" id="{44DD064A-7ADF-4395-B069-79BE3FEED4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23441" y="1605998"/>
            <a:ext cx="1212574" cy="1219200"/>
          </a:xfrm>
          <a:prstGeom prst="rect">
            <a:avLst/>
          </a:prstGeom>
        </xdr:spPr>
      </xdr:pic>
      <xdr:sp macro="" textlink="C̳álculos!C16">
        <xdr:nvSpPr>
          <xdr:cNvPr id="7" name="Retângulo 6">
            <a:extLst>
              <a:ext uri="{FF2B5EF4-FFF2-40B4-BE49-F238E27FC236}">
                <a16:creationId xmlns:a16="http://schemas.microsoft.com/office/drawing/2014/main" id="{C90E50AF-4CE4-8E7C-7A0F-290D2EB8F486}"/>
              </a:ext>
            </a:extLst>
          </xdr:cNvPr>
          <xdr:cNvSpPr/>
        </xdr:nvSpPr>
        <xdr:spPr>
          <a:xfrm>
            <a:off x="3171825" y="1938131"/>
            <a:ext cx="2257425" cy="5549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C42E236F-D32B-43B1-8E57-CE4996039979}" type="TxLink">
              <a:rPr lang="en-US" sz="2400" b="1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r"/>
              <a:t>R$ 1.350,00</a:t>
            </a:fld>
            <a:endParaRPr lang="pt-BR" sz="2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9525</xdr:colOff>
      <xdr:row>7</xdr:row>
      <xdr:rowOff>86638</xdr:rowOff>
    </xdr:from>
    <xdr:to>
      <xdr:col>0</xdr:col>
      <xdr:colOff>2169525</xdr:colOff>
      <xdr:row>18</xdr:row>
      <xdr:rowOff>46712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ubscription Type">
              <a:extLst>
                <a:ext uri="{FF2B5EF4-FFF2-40B4-BE49-F238E27FC236}">
                  <a16:creationId xmlns:a16="http://schemas.microsoft.com/office/drawing/2014/main" id="{4E834E76-8E40-4B37-B640-CE4F47BD2E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478753"/>
              <a:ext cx="2160000" cy="20555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480062</xdr:colOff>
      <xdr:row>6</xdr:row>
      <xdr:rowOff>17393</xdr:rowOff>
    </xdr:from>
    <xdr:to>
      <xdr:col>15</xdr:col>
      <xdr:colOff>593912</xdr:colOff>
      <xdr:row>12</xdr:row>
      <xdr:rowOff>134393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BC82CDC8-3BC9-45BB-158D-3844AC6504E3}"/>
            </a:ext>
          </a:extLst>
        </xdr:cNvPr>
        <xdr:cNvGrpSpPr/>
      </xdr:nvGrpSpPr>
      <xdr:grpSpPr>
        <a:xfrm>
          <a:off x="7162216" y="1219008"/>
          <a:ext cx="3594138" cy="1260000"/>
          <a:chOff x="7165699" y="1217543"/>
          <a:chExt cx="3600000" cy="1260000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CD718E8F-104E-E1CD-541C-96DFEA1F3870}"/>
              </a:ext>
            </a:extLst>
          </xdr:cNvPr>
          <xdr:cNvSpPr/>
        </xdr:nvSpPr>
        <xdr:spPr>
          <a:xfrm>
            <a:off x="7165699" y="1217543"/>
            <a:ext cx="3600000" cy="1260000"/>
          </a:xfrm>
          <a:prstGeom prst="roundRect">
            <a:avLst>
              <a:gd name="adj" fmla="val 1349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A505AD25-B5BF-12F4-9262-D4BA21F0CE44}"/>
              </a:ext>
            </a:extLst>
          </xdr:cNvPr>
          <xdr:cNvSpPr/>
        </xdr:nvSpPr>
        <xdr:spPr>
          <a:xfrm>
            <a:off x="7166941" y="1217543"/>
            <a:ext cx="3597516" cy="360000"/>
          </a:xfrm>
          <a:prstGeom prst="round2SameRect">
            <a:avLst>
              <a:gd name="adj1" fmla="val 32884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C22">
        <xdr:nvSpPr>
          <xdr:cNvPr id="14" name="Retângulo 13">
            <a:extLst>
              <a:ext uri="{FF2B5EF4-FFF2-40B4-BE49-F238E27FC236}">
                <a16:creationId xmlns:a16="http://schemas.microsoft.com/office/drawing/2014/main" id="{8AB3ADF1-BA51-8D47-6F51-69A2F429AE62}"/>
              </a:ext>
            </a:extLst>
          </xdr:cNvPr>
          <xdr:cNvSpPr/>
        </xdr:nvSpPr>
        <xdr:spPr>
          <a:xfrm>
            <a:off x="8420100" y="1721540"/>
            <a:ext cx="2257425" cy="5549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67C17414-4FED-444D-AC36-CC57825B0942}" type="TxLink">
              <a:rPr lang="en-US" sz="2400" b="1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r"/>
              <a:t>R$ 1.800,00</a:t>
            </a:fld>
            <a:endParaRPr lang="pt-BR" sz="48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674E6DC4-C3B3-4997-9AEB-4458DA2DEA58}"/>
              </a:ext>
            </a:extLst>
          </xdr:cNvPr>
          <xdr:cNvGrpSpPr/>
        </xdr:nvGrpSpPr>
        <xdr:grpSpPr>
          <a:xfrm>
            <a:off x="7448550" y="1713257"/>
            <a:ext cx="904875" cy="571500"/>
            <a:chOff x="3495675" y="5400674"/>
            <a:chExt cx="1549476" cy="752476"/>
          </a:xfrm>
        </xdr:grpSpPr>
        <xdr:pic>
          <xdr:nvPicPr>
            <xdr:cNvPr id="16" name="Imagem 15">
              <a:extLst>
                <a:ext uri="{FF2B5EF4-FFF2-40B4-BE49-F238E27FC236}">
                  <a16:creationId xmlns:a16="http://schemas.microsoft.com/office/drawing/2014/main" id="{ED88E43B-44A9-3EAE-D424-09AB4C54112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7" name="Gráfico 16">
              <a:extLst>
                <a:ext uri="{FF2B5EF4-FFF2-40B4-BE49-F238E27FC236}">
                  <a16:creationId xmlns:a16="http://schemas.microsoft.com/office/drawing/2014/main" id="{DE56712F-DA8F-6554-FAE0-A9005A8556B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8"/>
              <a:ext cx="1549476" cy="257212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280987</xdr:colOff>
      <xdr:row>13</xdr:row>
      <xdr:rowOff>176021</xdr:rowOff>
    </xdr:from>
    <xdr:to>
      <xdr:col>15</xdr:col>
      <xdr:colOff>593912</xdr:colOff>
      <xdr:row>36</xdr:row>
      <xdr:rowOff>0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EB0C1DBB-86BB-F763-A30F-B95DD3EEBB33}"/>
            </a:ext>
          </a:extLst>
        </xdr:cNvPr>
        <xdr:cNvGrpSpPr/>
      </xdr:nvGrpSpPr>
      <xdr:grpSpPr>
        <a:xfrm>
          <a:off x="2706199" y="2711136"/>
          <a:ext cx="8050155" cy="4205479"/>
          <a:chOff x="2700337" y="3133724"/>
          <a:chExt cx="7200900" cy="4038601"/>
        </a:xfrm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E82B70DB-4DA5-2219-B698-A3DEE07CFDE6}"/>
              </a:ext>
            </a:extLst>
          </xdr:cNvPr>
          <xdr:cNvSpPr/>
        </xdr:nvSpPr>
        <xdr:spPr>
          <a:xfrm>
            <a:off x="2700337" y="3133725"/>
            <a:ext cx="7200900" cy="4038600"/>
          </a:xfrm>
          <a:prstGeom prst="roundRect">
            <a:avLst>
              <a:gd name="adj" fmla="val 627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9" name="Gráfico 18">
            <a:extLst>
              <a:ext uri="{FF2B5EF4-FFF2-40B4-BE49-F238E27FC236}">
                <a16:creationId xmlns:a16="http://schemas.microsoft.com/office/drawing/2014/main" id="{992126C7-FF05-404A-BF31-FD2B1137D7E5}"/>
              </a:ext>
            </a:extLst>
          </xdr:cNvPr>
          <xdr:cNvGraphicFramePr>
            <a:graphicFrameLocks/>
          </xdr:cNvGraphicFramePr>
        </xdr:nvGraphicFramePr>
        <xdr:xfrm>
          <a:off x="2738437" y="3705225"/>
          <a:ext cx="4572000" cy="32662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4DE90E56-3564-B417-7BCE-6B59EECE512A}"/>
              </a:ext>
            </a:extLst>
          </xdr:cNvPr>
          <xdr:cNvGrpSpPr/>
        </xdr:nvGrpSpPr>
        <xdr:grpSpPr>
          <a:xfrm>
            <a:off x="7430643" y="4469175"/>
            <a:ext cx="2160000" cy="720000"/>
            <a:chOff x="10026206" y="3170168"/>
            <a:chExt cx="2160000" cy="720000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53CAFEFA-5670-EB02-7EB2-9A7640DFDCDA}"/>
                </a:ext>
              </a:extLst>
            </xdr:cNvPr>
            <xdr:cNvSpPr/>
          </xdr:nvSpPr>
          <xdr:spPr>
            <a:xfrm>
              <a:off x="10026206" y="3170168"/>
              <a:ext cx="2160000" cy="720000"/>
            </a:xfrm>
            <a:prstGeom prst="roundRect">
              <a:avLst>
                <a:gd name="adj" fmla="val 13492"/>
              </a:avLst>
            </a:prstGeom>
            <a:solidFill>
              <a:srgbClr val="E8E6E9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3" name="Retângulo: Cantos Superiores Arredondados 22">
              <a:extLst>
                <a:ext uri="{FF2B5EF4-FFF2-40B4-BE49-F238E27FC236}">
                  <a16:creationId xmlns:a16="http://schemas.microsoft.com/office/drawing/2014/main" id="{A3E44832-43D7-9146-39B0-1D95CCD47E37}"/>
                </a:ext>
              </a:extLst>
            </xdr:cNvPr>
            <xdr:cNvSpPr/>
          </xdr:nvSpPr>
          <xdr:spPr>
            <a:xfrm>
              <a:off x="10026206" y="3170168"/>
              <a:ext cx="2160000" cy="288000"/>
            </a:xfrm>
            <a:prstGeom prst="round2SameRect">
              <a:avLst>
                <a:gd name="adj1" fmla="val 32884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</a:p>
          </xdr:txBody>
        </xdr:sp>
        <xdr:sp macro="" textlink="C̳álculos!D8">
          <xdr:nvSpPr>
            <xdr:cNvPr id="24" name="Retângulo 23">
              <a:extLst>
                <a:ext uri="{FF2B5EF4-FFF2-40B4-BE49-F238E27FC236}">
                  <a16:creationId xmlns:a16="http://schemas.microsoft.com/office/drawing/2014/main" id="{8AAD69C7-9F78-C438-99AE-A9945CC70A91}"/>
                </a:ext>
              </a:extLst>
            </xdr:cNvPr>
            <xdr:cNvSpPr/>
          </xdr:nvSpPr>
          <xdr:spPr>
            <a:xfrm>
              <a:off x="10026206" y="3502715"/>
              <a:ext cx="2160000" cy="32633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A5F1BA0-11CE-49DA-A1B3-AC571686FD2E}" type="TxLink">
                <a:rPr lang="en-US" sz="1400" b="1" i="0" u="none" strike="noStrike">
                  <a:solidFill>
                    <a:srgbClr val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R$ 3.571,00</a:t>
              </a:fld>
              <a:endParaRPr lang="pt-BR" sz="40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316CFDDA-7D68-9C24-351E-8F62B1F6D84D}"/>
              </a:ext>
            </a:extLst>
          </xdr:cNvPr>
          <xdr:cNvSpPr/>
        </xdr:nvSpPr>
        <xdr:spPr>
          <a:xfrm>
            <a:off x="2700787" y="3133724"/>
            <a:ext cx="7200000" cy="360000"/>
          </a:xfrm>
          <a:prstGeom prst="round2SameRect">
            <a:avLst>
              <a:gd name="adj1" fmla="val 32052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6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AUTO RENEWAL</a:t>
            </a:r>
            <a:endParaRPr lang="pt-BR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723900</xdr:colOff>
      <xdr:row>2</xdr:row>
      <xdr:rowOff>47624</xdr:rowOff>
    </xdr:from>
    <xdr:to>
      <xdr:col>0</xdr:col>
      <xdr:colOff>1443900</xdr:colOff>
      <xdr:row>5</xdr:row>
      <xdr:rowOff>138974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2424E9BA-6A20-4D19-BF40-3E8BBF7102A8}"/>
            </a:ext>
          </a:extLst>
        </xdr:cNvPr>
        <xdr:cNvSpPr/>
      </xdr:nvSpPr>
      <xdr:spPr>
        <a:xfrm>
          <a:off x="723900" y="428624"/>
          <a:ext cx="720000" cy="7200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Antonio" refreshedDate="46303.66734965278" createdVersion="8" refreshedVersion="8" minRefreshableVersion="3" recordCount="295" xr:uid="{62730735-DBCA-45BF-B642-B548665D6C3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ntainsMixedTypes="1" containsNumber="1" containsInteger="1" minValue="898" maxValue="898"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984862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n v="898"/>
    <d v="2024-01-01T00:00:00"/>
    <x v="0"/>
    <n v="15"/>
    <x v="0"/>
    <s v="Yes"/>
    <n v="30"/>
    <s v="Yes"/>
    <n v="20"/>
    <n v="5"/>
    <n v="60"/>
  </r>
  <r>
    <n v="3232"/>
    <s v="Maria Oliveira"/>
    <s v="Core"/>
    <d v="2024-01-15T00:00:00"/>
    <x v="1"/>
    <n v="5"/>
    <x v="1"/>
    <s v="No"/>
    <s v="-"/>
    <s v="No"/>
    <n v="0"/>
    <n v="0"/>
    <n v="5"/>
  </r>
  <r>
    <n v="3233"/>
    <s v="Lucas Fernandes"/>
    <s v="Standard"/>
    <d v="2024-02-10T00:00:00"/>
    <x v="0"/>
    <n v="10"/>
    <x v="2"/>
    <s v="No"/>
    <s v="-"/>
    <s v="Yes"/>
    <n v="20"/>
    <n v="10"/>
    <n v="20"/>
  </r>
  <r>
    <n v="3234"/>
    <s v="Ana Souza"/>
    <s v="Ultimate"/>
    <d v="2024-02-20T00:00:00"/>
    <x v="1"/>
    <n v="15"/>
    <x v="0"/>
    <s v="Yes"/>
    <n v="30"/>
    <s v="Yes"/>
    <n v="20"/>
    <n v="3"/>
    <n v="62"/>
  </r>
  <r>
    <n v="3235"/>
    <s v="Pedro Gonçalves"/>
    <s v="Core"/>
    <d v="2024-03-05T00:00:00"/>
    <x v="0"/>
    <n v="5"/>
    <x v="0"/>
    <s v="No"/>
    <s v="-"/>
    <s v="No"/>
    <n v="0"/>
    <n v="1"/>
    <n v="4"/>
  </r>
  <r>
    <n v="3236"/>
    <s v="Felipe Costa"/>
    <s v="Standard"/>
    <d v="2024-03-02T00:00:00"/>
    <x v="1"/>
    <n v="10"/>
    <x v="0"/>
    <s v="No"/>
    <s v="-"/>
    <s v="Yes"/>
    <n v="20"/>
    <n v="2"/>
    <n v="28"/>
  </r>
  <r>
    <n v="3237"/>
    <s v="Camila Ribeiro"/>
    <s v="Ultimate"/>
    <d v="2024-03-03T00:00:00"/>
    <x v="0"/>
    <n v="15"/>
    <x v="2"/>
    <s v="Yes"/>
    <n v="30"/>
    <s v="Yes"/>
    <n v="20"/>
    <n v="10"/>
    <n v="55"/>
  </r>
  <r>
    <n v="3238"/>
    <s v="André Mendes"/>
    <s v="Core"/>
    <d v="2024-03-04T00:00:00"/>
    <x v="0"/>
    <n v="5"/>
    <x v="1"/>
    <s v="No"/>
    <s v="-"/>
    <s v="No"/>
    <n v="0"/>
    <n v="0"/>
    <n v="5"/>
  </r>
  <r>
    <n v="3239"/>
    <s v="Sofia Almeida"/>
    <s v="Ultimate"/>
    <d v="2024-03-05T00:00:00"/>
    <x v="1"/>
    <n v="15"/>
    <x v="0"/>
    <s v="Yes"/>
    <n v="30"/>
    <s v="Yes"/>
    <n v="20"/>
    <n v="5"/>
    <n v="60"/>
  </r>
  <r>
    <n v="3240"/>
    <s v="Bruno Martins"/>
    <s v="Standard"/>
    <d v="2024-03-06T00:00:00"/>
    <x v="0"/>
    <n v="10"/>
    <x v="2"/>
    <s v="No"/>
    <s v="-"/>
    <s v="Yes"/>
    <n v="20"/>
    <n v="15"/>
    <n v="15"/>
  </r>
  <r>
    <n v="3241"/>
    <s v="Rita Castro"/>
    <s v="Core"/>
    <d v="2024-03-07T00:00:00"/>
    <x v="1"/>
    <n v="5"/>
    <x v="0"/>
    <s v="No"/>
    <s v="-"/>
    <s v="No"/>
    <n v="0"/>
    <n v="1"/>
    <n v="4"/>
  </r>
  <r>
    <n v="3242"/>
    <s v="Marco Túlio"/>
    <s v="Ultimate"/>
    <d v="2024-03-08T00:00:00"/>
    <x v="0"/>
    <n v="15"/>
    <x v="1"/>
    <s v="Yes"/>
    <n v="30"/>
    <s v="Yes"/>
    <n v="20"/>
    <n v="20"/>
    <n v="45"/>
  </r>
  <r>
    <n v="3243"/>
    <s v="Lívia Silveira"/>
    <s v="Standard"/>
    <d v="2024-03-09T00:00:00"/>
    <x v="1"/>
    <n v="10"/>
    <x v="0"/>
    <s v="No"/>
    <s v="-"/>
    <s v="Yes"/>
    <n v="20"/>
    <n v="10"/>
    <n v="20"/>
  </r>
  <r>
    <n v="3244"/>
    <s v="Diogo Sousa"/>
    <s v="Core"/>
    <d v="2024-03-10T00:00:00"/>
    <x v="0"/>
    <n v="5"/>
    <x v="2"/>
    <s v="No"/>
    <s v="-"/>
    <s v="No"/>
    <n v="0"/>
    <n v="0"/>
    <n v="5"/>
  </r>
  <r>
    <n v="3245"/>
    <s v="Fernanda Lima"/>
    <s v="Ultimate"/>
    <d v="2024-03-11T00:00:00"/>
    <x v="1"/>
    <n v="15"/>
    <x v="0"/>
    <s v="Yes"/>
    <n v="30"/>
    <s v="Yes"/>
    <n v="20"/>
    <n v="8"/>
    <n v="57"/>
  </r>
  <r>
    <n v="3246"/>
    <s v="Caio Pereira"/>
    <s v="Standard"/>
    <d v="2024-03-12T00:00:00"/>
    <x v="0"/>
    <n v="10"/>
    <x v="1"/>
    <s v="No"/>
    <s v="-"/>
    <s v="Yes"/>
    <n v="20"/>
    <n v="12"/>
    <n v="18"/>
  </r>
  <r>
    <n v="3247"/>
    <s v="Beatriz Gomes"/>
    <s v="Core"/>
    <d v="2024-03-13T00:00:00"/>
    <x v="1"/>
    <n v="5"/>
    <x v="0"/>
    <s v="No"/>
    <s v="-"/>
    <s v="No"/>
    <n v="0"/>
    <n v="2"/>
    <n v="3"/>
  </r>
  <r>
    <n v="3248"/>
    <s v="Cesar Oliveira"/>
    <s v="Ultimate"/>
    <d v="2024-03-14T00:00:00"/>
    <x v="0"/>
    <n v="15"/>
    <x v="2"/>
    <s v="Yes"/>
    <n v="30"/>
    <s v="Yes"/>
    <n v="20"/>
    <n v="7"/>
    <n v="58"/>
  </r>
  <r>
    <n v="3249"/>
    <s v="Débora Machado"/>
    <s v="Standard"/>
    <d v="2024-03-15T00:00:00"/>
    <x v="1"/>
    <n v="10"/>
    <x v="0"/>
    <s v="No"/>
    <s v="-"/>
    <s v="Yes"/>
    <n v="20"/>
    <n v="5"/>
    <n v="25"/>
  </r>
  <r>
    <n v="3250"/>
    <s v="Eduardo Vargas"/>
    <s v="Core"/>
    <d v="2024-03-16T00:00:00"/>
    <x v="0"/>
    <n v="5"/>
    <x v="1"/>
    <s v="No"/>
    <s v="-"/>
    <s v="No"/>
    <n v="0"/>
    <n v="0"/>
    <n v="5"/>
  </r>
  <r>
    <n v="3251"/>
    <s v="Gabriela Santos"/>
    <s v="Ultimate"/>
    <d v="2024-03-17T00:00:00"/>
    <x v="1"/>
    <n v="15"/>
    <x v="0"/>
    <s v="Yes"/>
    <n v="30"/>
    <s v="Yes"/>
    <n v="20"/>
    <n v="3"/>
    <n v="62"/>
  </r>
  <r>
    <n v="3252"/>
    <s v="Henrique Dias"/>
    <s v="Standard"/>
    <d v="2024-03-18T00:00:00"/>
    <x v="0"/>
    <n v="10"/>
    <x v="2"/>
    <s v="No"/>
    <s v="-"/>
    <s v="Yes"/>
    <n v="20"/>
    <n v="15"/>
    <n v="15"/>
  </r>
  <r>
    <n v="3253"/>
    <s v="Isabela Moreira"/>
    <s v="Core"/>
    <d v="2024-03-19T00:00:00"/>
    <x v="1"/>
    <n v="5"/>
    <x v="0"/>
    <s v="No"/>
    <s v="-"/>
    <s v="No"/>
    <n v="0"/>
    <n v="1"/>
    <n v="4"/>
  </r>
  <r>
    <n v="3254"/>
    <s v="Joaquim Barbosa"/>
    <s v="Ultimate"/>
    <d v="2024-03-20T00:00:00"/>
    <x v="0"/>
    <n v="15"/>
    <x v="1"/>
    <s v="Yes"/>
    <n v="30"/>
    <s v="Yes"/>
    <n v="20"/>
    <n v="20"/>
    <n v="45"/>
  </r>
  <r>
    <n v="3255"/>
    <s v="Lara Rocha"/>
    <s v="Standard"/>
    <d v="2024-03-21T00:00:00"/>
    <x v="1"/>
    <n v="10"/>
    <x v="0"/>
    <s v="No"/>
    <s v="-"/>
    <s v="Yes"/>
    <n v="20"/>
    <n v="10"/>
    <n v="20"/>
  </r>
  <r>
    <n v="3256"/>
    <s v="Matheus Silva"/>
    <s v="Core"/>
    <d v="2024-03-22T00:00:00"/>
    <x v="0"/>
    <n v="5"/>
    <x v="2"/>
    <s v="No"/>
    <s v="-"/>
    <s v="No"/>
    <n v="0"/>
    <n v="0"/>
    <n v="5"/>
  </r>
  <r>
    <n v="3257"/>
    <s v="Nicole Costa"/>
    <s v="Ultimate"/>
    <d v="2024-03-23T00:00:00"/>
    <x v="1"/>
    <n v="15"/>
    <x v="0"/>
    <s v="Yes"/>
    <n v="30"/>
    <s v="Yes"/>
    <n v="20"/>
    <n v="5"/>
    <n v="60"/>
  </r>
  <r>
    <n v="3258"/>
    <s v="Otávio Mendonça"/>
    <s v="Standard"/>
    <d v="2024-03-24T00:00:00"/>
    <x v="0"/>
    <n v="10"/>
    <x v="1"/>
    <s v="No"/>
    <s v="-"/>
    <s v="Yes"/>
    <n v="20"/>
    <n v="15"/>
    <n v="15"/>
  </r>
  <r>
    <n v="3259"/>
    <s v="Paula Ferreira"/>
    <s v="Core"/>
    <d v="2024-03-25T00:00:00"/>
    <x v="1"/>
    <n v="5"/>
    <x v="0"/>
    <s v="No"/>
    <s v="-"/>
    <s v="No"/>
    <n v="0"/>
    <n v="1"/>
    <n v="4"/>
  </r>
  <r>
    <n v="3260"/>
    <s v="Raquel Alves"/>
    <s v="Ultimate"/>
    <d v="2024-03-26T00:00:00"/>
    <x v="0"/>
    <n v="15"/>
    <x v="2"/>
    <s v="Yes"/>
    <n v="30"/>
    <s v="Yes"/>
    <n v="20"/>
    <n v="7"/>
    <n v="58"/>
  </r>
  <r>
    <n v="3261"/>
    <s v="Samuel Pires"/>
    <s v="Standard"/>
    <d v="2024-03-27T00:00:00"/>
    <x v="1"/>
    <n v="10"/>
    <x v="0"/>
    <s v="No"/>
    <s v="-"/>
    <s v="Yes"/>
    <n v="20"/>
    <n v="10"/>
    <n v="20"/>
  </r>
  <r>
    <n v="3262"/>
    <s v="Tânia Barros"/>
    <s v="Core"/>
    <d v="2024-03-28T00:00:00"/>
    <x v="0"/>
    <n v="5"/>
    <x v="1"/>
    <s v="No"/>
    <s v="-"/>
    <s v="No"/>
    <n v="0"/>
    <n v="0"/>
    <n v="5"/>
  </r>
  <r>
    <n v="3263"/>
    <s v="Vinicius Lima"/>
    <s v="Ultimate"/>
    <d v="2024-03-29T00:00:00"/>
    <x v="1"/>
    <n v="15"/>
    <x v="0"/>
    <s v="Yes"/>
    <n v="30"/>
    <s v="Yes"/>
    <n v="20"/>
    <n v="3"/>
    <n v="62"/>
  </r>
  <r>
    <n v="3264"/>
    <s v="Yasmin Teixeira"/>
    <s v="Standard"/>
    <d v="2024-03-30T00:00:00"/>
    <x v="0"/>
    <n v="10"/>
    <x v="2"/>
    <s v="No"/>
    <s v="-"/>
    <s v="Yes"/>
    <n v="20"/>
    <n v="15"/>
    <n v="15"/>
  </r>
  <r>
    <n v="3265"/>
    <s v="Zé Carlos"/>
    <s v="Core"/>
    <d v="2024-03-31T00:00:00"/>
    <x v="1"/>
    <n v="5"/>
    <x v="0"/>
    <s v="No"/>
    <s v="-"/>
    <s v="No"/>
    <n v="0"/>
    <n v="1"/>
    <n v="4"/>
  </r>
  <r>
    <n v="3266"/>
    <s v="Amanda Nogueira"/>
    <s v="Core"/>
    <d v="2024-04-01T00:00:00"/>
    <x v="0"/>
    <n v="5"/>
    <x v="0"/>
    <s v="No"/>
    <s v="-"/>
    <s v="No"/>
    <n v="0"/>
    <n v="0"/>
    <n v="5"/>
  </r>
  <r>
    <n v="3267"/>
    <s v="Bruno Cavalheiro"/>
    <s v="Ultimate"/>
    <d v="2024-04-02T00:00:00"/>
    <x v="1"/>
    <n v="15"/>
    <x v="2"/>
    <s v="Yes"/>
    <n v="30"/>
    <s v="Yes"/>
    <n v="20"/>
    <n v="7"/>
    <n v="58"/>
  </r>
  <r>
    <n v="3268"/>
    <s v="Carla Dias"/>
    <s v="Standard"/>
    <d v="2024-04-03T00:00:00"/>
    <x v="0"/>
    <n v="10"/>
    <x v="1"/>
    <s v="No"/>
    <s v="-"/>
    <s v="Yes"/>
    <n v="20"/>
    <n v="10"/>
    <n v="20"/>
  </r>
  <r>
    <n v="3269"/>
    <s v="Diego Fontes"/>
    <s v="Core"/>
    <d v="2024-04-04T00:00:00"/>
    <x v="1"/>
    <n v="5"/>
    <x v="2"/>
    <s v="No"/>
    <s v="-"/>
    <s v="No"/>
    <n v="0"/>
    <n v="1"/>
    <n v="4"/>
  </r>
  <r>
    <n v="3270"/>
    <s v="Eunice Lima"/>
    <s v="Ultimate"/>
    <d v="2024-04-05T00:00:00"/>
    <x v="0"/>
    <n v="15"/>
    <x v="0"/>
    <s v="Yes"/>
    <n v="30"/>
    <s v="Yes"/>
    <n v="20"/>
    <n v="15"/>
    <n v="50"/>
  </r>
  <r>
    <n v="3271"/>
    <s v="Fábio Martins"/>
    <s v="Standard"/>
    <d v="2024-04-06T00:00:00"/>
    <x v="1"/>
    <n v="10"/>
    <x v="0"/>
    <s v="No"/>
    <s v="-"/>
    <s v="Yes"/>
    <n v="20"/>
    <n v="5"/>
    <n v="25"/>
  </r>
  <r>
    <n v="3272"/>
    <s v="Gisele Araújo"/>
    <s v="Core"/>
    <d v="2024-04-07T00:00:00"/>
    <x v="0"/>
    <n v="5"/>
    <x v="1"/>
    <s v="No"/>
    <s v="-"/>
    <s v="No"/>
    <n v="0"/>
    <n v="0"/>
    <n v="5"/>
  </r>
  <r>
    <n v="3273"/>
    <s v="Hélio Castro"/>
    <s v="Ultimate"/>
    <d v="2024-04-08T00:00:00"/>
    <x v="1"/>
    <n v="15"/>
    <x v="2"/>
    <s v="Yes"/>
    <n v="30"/>
    <s v="Yes"/>
    <n v="20"/>
    <n v="20"/>
    <n v="45"/>
  </r>
  <r>
    <n v="3274"/>
    <s v="Ingrid Menezes"/>
    <s v="Standard"/>
    <d v="2024-04-09T00:00:00"/>
    <x v="0"/>
    <n v="10"/>
    <x v="2"/>
    <s v="No"/>
    <s v="-"/>
    <s v="Yes"/>
    <n v="20"/>
    <n v="12"/>
    <n v="18"/>
  </r>
  <r>
    <n v="3275"/>
    <s v="Jorge Baptista"/>
    <s v="Core"/>
    <d v="2024-04-10T00:00:00"/>
    <x v="1"/>
    <n v="5"/>
    <x v="0"/>
    <s v="No"/>
    <s v="-"/>
    <s v="No"/>
    <n v="0"/>
    <n v="2"/>
    <n v="3"/>
  </r>
  <r>
    <n v="3276"/>
    <s v="Kléber Oliveira"/>
    <s v="Ultimate"/>
    <d v="2024-04-11T00:00:00"/>
    <x v="0"/>
    <n v="15"/>
    <x v="1"/>
    <s v="Yes"/>
    <n v="30"/>
    <s v="Yes"/>
    <n v="20"/>
    <n v="5"/>
    <n v="60"/>
  </r>
  <r>
    <n v="3277"/>
    <s v="Luciana Freitas"/>
    <s v="Standard"/>
    <d v="2024-04-12T00:00:00"/>
    <x v="1"/>
    <n v="10"/>
    <x v="0"/>
    <s v="No"/>
    <s v="-"/>
    <s v="Yes"/>
    <n v="20"/>
    <n v="10"/>
    <n v="20"/>
  </r>
  <r>
    <n v="3278"/>
    <s v="Márcia Eller"/>
    <s v="Core"/>
    <d v="2024-04-13T00:00:00"/>
    <x v="0"/>
    <n v="5"/>
    <x v="2"/>
    <s v="No"/>
    <s v="-"/>
    <s v="No"/>
    <n v="0"/>
    <n v="0"/>
    <n v="5"/>
  </r>
  <r>
    <n v="3279"/>
    <s v="Nilo Peçanha"/>
    <s v="Ultimate"/>
    <d v="2024-04-14T00:00:00"/>
    <x v="1"/>
    <n v="15"/>
    <x v="0"/>
    <s v="Yes"/>
    <n v="30"/>
    <s v="Yes"/>
    <n v="20"/>
    <n v="3"/>
    <n v="62"/>
  </r>
  <r>
    <n v="3280"/>
    <s v="Oscar Neves"/>
    <s v="Standard"/>
    <d v="2024-04-15T00:00:00"/>
    <x v="0"/>
    <n v="10"/>
    <x v="1"/>
    <s v="No"/>
    <s v="-"/>
    <s v="Yes"/>
    <n v="20"/>
    <n v="15"/>
    <n v="15"/>
  </r>
  <r>
    <n v="3281"/>
    <s v="Patrícia Soares"/>
    <s v="Core"/>
    <d v="2024-04-16T00:00:00"/>
    <x v="1"/>
    <n v="5"/>
    <x v="0"/>
    <s v="No"/>
    <s v="-"/>
    <s v="No"/>
    <n v="0"/>
    <n v="1"/>
    <n v="4"/>
  </r>
  <r>
    <n v="3282"/>
    <s v="Quirino Gonçalves"/>
    <s v="Ultimate"/>
    <d v="2024-04-17T00:00:00"/>
    <x v="0"/>
    <n v="15"/>
    <x v="2"/>
    <s v="Yes"/>
    <n v="30"/>
    <s v="Yes"/>
    <n v="20"/>
    <n v="7"/>
    <n v="58"/>
  </r>
  <r>
    <n v="3283"/>
    <s v="Raul Machado"/>
    <s v="Standard"/>
    <d v="2024-04-18T00:00:00"/>
    <x v="1"/>
    <n v="10"/>
    <x v="0"/>
    <s v="No"/>
    <s v="-"/>
    <s v="Yes"/>
    <n v="20"/>
    <n v="10"/>
    <n v="20"/>
  </r>
  <r>
    <n v="3284"/>
    <s v="Sônia Lobo"/>
    <s v="Core"/>
    <d v="2024-04-19T00:00:00"/>
    <x v="0"/>
    <n v="5"/>
    <x v="1"/>
    <s v="No"/>
    <s v="-"/>
    <s v="No"/>
    <n v="0"/>
    <n v="0"/>
    <n v="5"/>
  </r>
  <r>
    <n v="3285"/>
    <s v="Tiago Ramos"/>
    <s v="Ultimate"/>
    <d v="2024-04-20T00:00:00"/>
    <x v="1"/>
    <n v="15"/>
    <x v="0"/>
    <s v="Yes"/>
    <n v="30"/>
    <s v="Yes"/>
    <n v="20"/>
    <n v="20"/>
    <n v="45"/>
  </r>
  <r>
    <n v="3286"/>
    <s v="Ugo Pires"/>
    <s v="Standard"/>
    <d v="2024-04-21T00:00:00"/>
    <x v="0"/>
    <n v="10"/>
    <x v="2"/>
    <s v="No"/>
    <s v="-"/>
    <s v="Yes"/>
    <n v="20"/>
    <n v="15"/>
    <n v="15"/>
  </r>
  <r>
    <n v="3287"/>
    <s v="Valéria Nobre"/>
    <s v="Core"/>
    <d v="2024-04-22T00:00:00"/>
    <x v="1"/>
    <n v="5"/>
    <x v="0"/>
    <s v="No"/>
    <s v="-"/>
    <s v="No"/>
    <n v="0"/>
    <n v="1"/>
    <n v="4"/>
  </r>
  <r>
    <n v="3288"/>
    <s v="William Siqueira"/>
    <s v="Ultimate"/>
    <d v="2024-04-23T00:00:00"/>
    <x v="0"/>
    <n v="15"/>
    <x v="1"/>
    <s v="Yes"/>
    <n v="30"/>
    <s v="Yes"/>
    <n v="20"/>
    <n v="3"/>
    <n v="62"/>
  </r>
  <r>
    <n v="3289"/>
    <s v="Xuxa Meneghel"/>
    <s v="Standard"/>
    <d v="2024-04-24T00:00:00"/>
    <x v="1"/>
    <n v="10"/>
    <x v="0"/>
    <s v="No"/>
    <s v="-"/>
    <s v="Yes"/>
    <n v="20"/>
    <n v="10"/>
    <n v="20"/>
  </r>
  <r>
    <n v="3290"/>
    <s v="Yara Figueiredo"/>
    <s v="Core"/>
    <d v="2024-04-25T00:00:00"/>
    <x v="0"/>
    <n v="5"/>
    <x v="2"/>
    <s v="No"/>
    <s v="-"/>
    <s v="No"/>
    <n v="0"/>
    <n v="0"/>
    <n v="5"/>
  </r>
  <r>
    <n v="3291"/>
    <s v="Zacarias Alves"/>
    <s v="Ultimate"/>
    <d v="2024-04-26T00:00:00"/>
    <x v="1"/>
    <n v="15"/>
    <x v="0"/>
    <s v="Yes"/>
    <n v="30"/>
    <s v="Yes"/>
    <n v="20"/>
    <n v="5"/>
    <n v="60"/>
  </r>
  <r>
    <n v="3292"/>
    <s v="Amanda Bynes"/>
    <s v="Standard"/>
    <d v="2024-04-27T00:00:00"/>
    <x v="0"/>
    <n v="10"/>
    <x v="1"/>
    <s v="No"/>
    <s v="-"/>
    <s v="Yes"/>
    <n v="20"/>
    <n v="15"/>
    <n v="15"/>
  </r>
  <r>
    <n v="3293"/>
    <s v="Bruno Mars"/>
    <s v="Core"/>
    <d v="2024-04-28T00:00:00"/>
    <x v="1"/>
    <n v="5"/>
    <x v="0"/>
    <s v="No"/>
    <s v="-"/>
    <s v="No"/>
    <n v="0"/>
    <n v="1"/>
    <n v="4"/>
  </r>
  <r>
    <n v="3294"/>
    <s v="Carla Bruni"/>
    <s v="Ultimate"/>
    <d v="2024-04-29T00:00:00"/>
    <x v="0"/>
    <n v="15"/>
    <x v="2"/>
    <s v="Yes"/>
    <n v="30"/>
    <s v="Yes"/>
    <n v="20"/>
    <n v="20"/>
    <n v="45"/>
  </r>
  <r>
    <n v="3295"/>
    <s v="Diego Maradona"/>
    <s v="Standard"/>
    <d v="2024-04-30T00:00:00"/>
    <x v="1"/>
    <n v="10"/>
    <x v="0"/>
    <s v="No"/>
    <s v="-"/>
    <s v="Yes"/>
    <n v="20"/>
    <n v="5"/>
    <n v="25"/>
  </r>
  <r>
    <n v="3296"/>
    <s v="Estela Marques"/>
    <s v="Core"/>
    <d v="2024-05-01T00:00:00"/>
    <x v="1"/>
    <n v="5"/>
    <x v="0"/>
    <s v="No"/>
    <s v="-"/>
    <s v="No"/>
    <n v="0"/>
    <n v="0"/>
    <n v="5"/>
  </r>
  <r>
    <n v="3297"/>
    <s v="Fábio Nobre"/>
    <s v="Ultimate"/>
    <d v="2024-05-02T00:00:00"/>
    <x v="0"/>
    <n v="15"/>
    <x v="2"/>
    <s v="Yes"/>
    <n v="30"/>
    <s v="Yes"/>
    <n v="20"/>
    <n v="7"/>
    <n v="58"/>
  </r>
  <r>
    <n v="3298"/>
    <s v="Gabriel Oliveira"/>
    <s v="Standard"/>
    <d v="2024-05-03T00:00:00"/>
    <x v="1"/>
    <n v="10"/>
    <x v="1"/>
    <s v="No"/>
    <s v="-"/>
    <s v="Yes"/>
    <n v="20"/>
    <n v="10"/>
    <n v="20"/>
  </r>
  <r>
    <n v="3299"/>
    <s v="Helena Santos"/>
    <s v="Core"/>
    <d v="2024-05-04T00:00:00"/>
    <x v="0"/>
    <n v="5"/>
    <x v="2"/>
    <s v="No"/>
    <s v="-"/>
    <s v="No"/>
    <n v="0"/>
    <n v="1"/>
    <n v="4"/>
  </r>
  <r>
    <n v="3300"/>
    <s v="Ivan Carvalho"/>
    <s v="Ultimate"/>
    <d v="2024-05-05T00:00:00"/>
    <x v="1"/>
    <n v="15"/>
    <x v="0"/>
    <s v="Yes"/>
    <n v="30"/>
    <s v="Yes"/>
    <n v="20"/>
    <n v="15"/>
    <n v="50"/>
  </r>
  <r>
    <n v="3301"/>
    <s v="Júlia Ferreira"/>
    <s v="Standard"/>
    <d v="2024-05-06T00:00:00"/>
    <x v="0"/>
    <n v="10"/>
    <x v="0"/>
    <s v="No"/>
    <s v="-"/>
    <s v="Yes"/>
    <n v="20"/>
    <n v="5"/>
    <n v="25"/>
  </r>
  <r>
    <n v="3302"/>
    <s v="Karla Alves"/>
    <s v="Core"/>
    <d v="2024-05-07T00:00:00"/>
    <x v="1"/>
    <n v="5"/>
    <x v="1"/>
    <s v="No"/>
    <s v="-"/>
    <s v="No"/>
    <n v="0"/>
    <n v="0"/>
    <n v="5"/>
  </r>
  <r>
    <n v="3303"/>
    <s v="Lucas Mendes"/>
    <s v="Ultimate"/>
    <d v="2024-05-08T00:00:00"/>
    <x v="0"/>
    <n v="15"/>
    <x v="2"/>
    <s v="Yes"/>
    <n v="30"/>
    <s v="Yes"/>
    <n v="20"/>
    <n v="20"/>
    <n v="45"/>
  </r>
  <r>
    <n v="3304"/>
    <s v="Mônica Gomes"/>
    <s v="Standard"/>
    <d v="2024-05-09T00:00:00"/>
    <x v="1"/>
    <n v="10"/>
    <x v="2"/>
    <s v="No"/>
    <s v="-"/>
    <s v="Yes"/>
    <n v="20"/>
    <n v="12"/>
    <n v="18"/>
  </r>
  <r>
    <n v="3305"/>
    <s v="Norberto Queiroz"/>
    <s v="Core"/>
    <d v="2024-05-10T00:00:00"/>
    <x v="0"/>
    <n v="5"/>
    <x v="0"/>
    <s v="No"/>
    <s v="-"/>
    <s v="No"/>
    <n v="0"/>
    <n v="2"/>
    <n v="3"/>
  </r>
  <r>
    <n v="3306"/>
    <s v="Otávio Barros"/>
    <s v="Ultimate"/>
    <d v="2024-05-11T00:00:00"/>
    <x v="1"/>
    <n v="15"/>
    <x v="1"/>
    <s v="Yes"/>
    <n v="30"/>
    <s v="Yes"/>
    <n v="20"/>
    <n v="5"/>
    <n v="60"/>
  </r>
  <r>
    <n v="3307"/>
    <s v="Paula Vieira"/>
    <s v="Standard"/>
    <d v="2024-05-12T00:00:00"/>
    <x v="0"/>
    <n v="10"/>
    <x v="0"/>
    <s v="No"/>
    <s v="-"/>
    <s v="Yes"/>
    <n v="20"/>
    <n v="10"/>
    <n v="20"/>
  </r>
  <r>
    <n v="3308"/>
    <s v="Quentin Ramos"/>
    <s v="Core"/>
    <d v="2024-05-13T00:00:00"/>
    <x v="1"/>
    <n v="5"/>
    <x v="2"/>
    <s v="No"/>
    <s v="-"/>
    <s v="No"/>
    <n v="0"/>
    <n v="0"/>
    <n v="5"/>
  </r>
  <r>
    <n v="3309"/>
    <s v="Raquel Novaes"/>
    <s v="Ultimate"/>
    <d v="2024-05-14T00:00:00"/>
    <x v="0"/>
    <n v="15"/>
    <x v="0"/>
    <s v="Yes"/>
    <n v="30"/>
    <s v="Yes"/>
    <n v="20"/>
    <n v="3"/>
    <n v="62"/>
  </r>
  <r>
    <n v="3310"/>
    <s v="Samantha Lopes"/>
    <s v="Standard"/>
    <d v="2024-05-15T00:00:00"/>
    <x v="1"/>
    <n v="10"/>
    <x v="1"/>
    <s v="No"/>
    <s v="-"/>
    <s v="Yes"/>
    <n v="20"/>
    <n v="15"/>
    <n v="15"/>
  </r>
  <r>
    <n v="3311"/>
    <s v="Tiago Martins"/>
    <s v="Core"/>
    <d v="2024-05-16T00:00:00"/>
    <x v="0"/>
    <n v="5"/>
    <x v="0"/>
    <s v="No"/>
    <s v="-"/>
    <s v="No"/>
    <n v="0"/>
    <n v="1"/>
    <n v="4"/>
  </r>
  <r>
    <n v="3312"/>
    <s v="Ulysses Guimarães"/>
    <s v="Ultimate"/>
    <d v="2024-05-17T00:00:00"/>
    <x v="1"/>
    <n v="15"/>
    <x v="2"/>
    <s v="Yes"/>
    <n v="30"/>
    <s v="Yes"/>
    <n v="20"/>
    <n v="7"/>
    <n v="58"/>
  </r>
  <r>
    <n v="3313"/>
    <s v="Vanessa Silva"/>
    <s v="Standard"/>
    <d v="2024-05-18T00:00:00"/>
    <x v="0"/>
    <n v="10"/>
    <x v="0"/>
    <s v="No"/>
    <s v="-"/>
    <s v="Yes"/>
    <n v="20"/>
    <n v="10"/>
    <n v="20"/>
  </r>
  <r>
    <n v="3314"/>
    <s v="William Carneiro"/>
    <s v="Core"/>
    <d v="2024-05-19T00:00:00"/>
    <x v="1"/>
    <n v="5"/>
    <x v="1"/>
    <s v="No"/>
    <s v="-"/>
    <s v="No"/>
    <n v="0"/>
    <n v="0"/>
    <n v="5"/>
  </r>
  <r>
    <n v="3315"/>
    <s v="Ximena Rocha"/>
    <s v="Ultimate"/>
    <d v="2024-05-20T00:00:00"/>
    <x v="0"/>
    <n v="15"/>
    <x v="0"/>
    <s v="Yes"/>
    <n v="30"/>
    <s v="Yes"/>
    <n v="20"/>
    <n v="20"/>
    <n v="45"/>
  </r>
  <r>
    <n v="3316"/>
    <s v="Yasmin Figueiredo"/>
    <s v="Standard"/>
    <d v="2024-05-21T00:00:00"/>
    <x v="1"/>
    <n v="10"/>
    <x v="2"/>
    <s v="No"/>
    <s v="-"/>
    <s v="Yes"/>
    <n v="20"/>
    <n v="15"/>
    <n v="15"/>
  </r>
  <r>
    <n v="3317"/>
    <s v="Zara Cunha"/>
    <s v="Core"/>
    <d v="2024-05-22T00:00:00"/>
    <x v="0"/>
    <n v="5"/>
    <x v="0"/>
    <s v="No"/>
    <s v="-"/>
    <s v="No"/>
    <n v="0"/>
    <n v="1"/>
    <n v="4"/>
  </r>
  <r>
    <n v="3318"/>
    <s v="Alan Teixeira"/>
    <s v="Ultimate"/>
    <d v="2024-05-23T00:00:00"/>
    <x v="1"/>
    <n v="15"/>
    <x v="1"/>
    <s v="Yes"/>
    <n v="30"/>
    <s v="Yes"/>
    <n v="20"/>
    <n v="3"/>
    <n v="62"/>
  </r>
  <r>
    <n v="3319"/>
    <s v="Bárbara Oliveira"/>
    <s v="Standard"/>
    <d v="2024-05-24T00:00:00"/>
    <x v="0"/>
    <n v="10"/>
    <x v="0"/>
    <s v="No"/>
    <s v="-"/>
    <s v="Yes"/>
    <n v="20"/>
    <n v="10"/>
    <n v="20"/>
  </r>
  <r>
    <n v="3320"/>
    <s v="Carlos Junqueira"/>
    <s v="Core"/>
    <d v="2024-05-25T00:00:00"/>
    <x v="1"/>
    <n v="5"/>
    <x v="2"/>
    <s v="No"/>
    <s v="-"/>
    <s v="No"/>
    <n v="0"/>
    <n v="0"/>
    <n v="5"/>
  </r>
  <r>
    <n v="3321"/>
    <s v="Daniela Moura"/>
    <s v="Ultimate"/>
    <d v="2024-05-26T00:00:00"/>
    <x v="0"/>
    <n v="15"/>
    <x v="0"/>
    <s v="Yes"/>
    <n v="30"/>
    <s v="Yes"/>
    <n v="20"/>
    <n v="5"/>
    <n v="60"/>
  </r>
  <r>
    <n v="3322"/>
    <s v="Eduardo Lima"/>
    <s v="Standard"/>
    <d v="2024-05-27T00:00:00"/>
    <x v="1"/>
    <n v="10"/>
    <x v="1"/>
    <s v="No"/>
    <s v="-"/>
    <s v="Yes"/>
    <n v="20"/>
    <n v="15"/>
    <n v="15"/>
  </r>
  <r>
    <n v="3323"/>
    <s v="Fabiana Araújo"/>
    <s v="Core"/>
    <d v="2024-05-28T00:00:00"/>
    <x v="0"/>
    <n v="5"/>
    <x v="0"/>
    <s v="No"/>
    <s v="-"/>
    <s v="No"/>
    <n v="0"/>
    <n v="1"/>
    <n v="4"/>
  </r>
  <r>
    <n v="3324"/>
    <s v="Geraldo Ribeiro"/>
    <s v="Ultimate"/>
    <d v="2024-05-29T00:00:00"/>
    <x v="1"/>
    <n v="15"/>
    <x v="2"/>
    <s v="Yes"/>
    <n v="30"/>
    <s v="Yes"/>
    <n v="20"/>
    <n v="20"/>
    <n v="45"/>
  </r>
  <r>
    <n v="3325"/>
    <s v="Héctor Vargas"/>
    <s v="Standard"/>
    <d v="2024-05-30T00:00:00"/>
    <x v="0"/>
    <n v="10"/>
    <x v="2"/>
    <s v="No"/>
    <s v="-"/>
    <s v="Yes"/>
    <n v="20"/>
    <n v="15"/>
    <n v="15"/>
  </r>
  <r>
    <n v="3326"/>
    <s v="Isabela Fonseca"/>
    <s v="Core"/>
    <d v="2024-05-31T00:00:00"/>
    <x v="1"/>
    <n v="5"/>
    <x v="1"/>
    <s v="No"/>
    <s v="-"/>
    <s v="No"/>
    <n v="0"/>
    <n v="0"/>
    <n v="5"/>
  </r>
  <r>
    <n v="3327"/>
    <s v="João Pedro Almeida"/>
    <s v="Ultimate"/>
    <d v="2024-06-01T00:00:00"/>
    <x v="0"/>
    <n v="15"/>
    <x v="0"/>
    <s v="Yes"/>
    <n v="30"/>
    <s v="Yes"/>
    <n v="20"/>
    <n v="7"/>
    <n v="58"/>
  </r>
  <r>
    <n v="3328"/>
    <s v="Klara Costa"/>
    <s v="Standard"/>
    <d v="2024-06-02T00:00:00"/>
    <x v="1"/>
    <n v="10"/>
    <x v="1"/>
    <s v="No"/>
    <s v="-"/>
    <s v="Yes"/>
    <n v="20"/>
    <n v="10"/>
    <n v="20"/>
  </r>
  <r>
    <n v="3329"/>
    <s v="Luciana Mendes"/>
    <s v="Core"/>
    <d v="2024-06-03T00:00:00"/>
    <x v="0"/>
    <n v="5"/>
    <x v="2"/>
    <s v="No"/>
    <s v="-"/>
    <s v="No"/>
    <n v="0"/>
    <n v="1"/>
    <n v="4"/>
  </r>
  <r>
    <n v="3330"/>
    <s v="Marcelo Gouveia"/>
    <s v="Ultimate"/>
    <d v="2024-06-04T00:00:00"/>
    <x v="1"/>
    <n v="15"/>
    <x v="0"/>
    <s v="Yes"/>
    <n v="30"/>
    <s v="Yes"/>
    <n v="20"/>
    <n v="15"/>
    <n v="50"/>
  </r>
  <r>
    <n v="3331"/>
    <s v="Nívea Borges"/>
    <s v="Standard"/>
    <d v="2024-06-05T00:00:00"/>
    <x v="0"/>
    <n v="10"/>
    <x v="0"/>
    <s v="No"/>
    <s v="-"/>
    <s v="Yes"/>
    <n v="20"/>
    <n v="5"/>
    <n v="25"/>
  </r>
  <r>
    <n v="3332"/>
    <s v="Oscar Nogueira"/>
    <s v="Core"/>
    <d v="2024-06-06T00:00:00"/>
    <x v="1"/>
    <n v="5"/>
    <x v="1"/>
    <s v="No"/>
    <s v="-"/>
    <s v="No"/>
    <n v="0"/>
    <n v="0"/>
    <n v="5"/>
  </r>
  <r>
    <n v="3333"/>
    <s v="Patrícia Alves"/>
    <s v="Ultimate"/>
    <d v="2024-06-07T00:00:00"/>
    <x v="0"/>
    <n v="15"/>
    <x v="2"/>
    <s v="Yes"/>
    <n v="30"/>
    <s v="Yes"/>
    <n v="20"/>
    <n v="20"/>
    <n v="45"/>
  </r>
  <r>
    <n v="3334"/>
    <s v="Rafaela Silva"/>
    <s v="Standard"/>
    <d v="2024-06-08T00:00:00"/>
    <x v="1"/>
    <n v="10"/>
    <x v="2"/>
    <s v="No"/>
    <s v="-"/>
    <s v="Yes"/>
    <n v="20"/>
    <n v="12"/>
    <n v="18"/>
  </r>
  <r>
    <n v="3335"/>
    <s v="Samantha Moraes"/>
    <s v="Core"/>
    <d v="2024-06-09T00:00:00"/>
    <x v="0"/>
    <n v="5"/>
    <x v="0"/>
    <s v="No"/>
    <s v="-"/>
    <s v="No"/>
    <n v="0"/>
    <n v="2"/>
    <n v="3"/>
  </r>
  <r>
    <n v="3336"/>
    <s v="Tatiana Rocha"/>
    <s v="Core"/>
    <d v="2024-06-10T00:00:00"/>
    <x v="0"/>
    <n v="5"/>
    <x v="0"/>
    <s v="No"/>
    <s v="-"/>
    <s v="No"/>
    <n v="0"/>
    <n v="0"/>
    <n v="5"/>
  </r>
  <r>
    <n v="3337"/>
    <s v="Ulisses Tavares"/>
    <s v="Ultimate"/>
    <d v="2024-06-11T00:00:00"/>
    <x v="1"/>
    <n v="15"/>
    <x v="2"/>
    <s v="Yes"/>
    <n v="30"/>
    <s v="Yes"/>
    <n v="20"/>
    <n v="7"/>
    <n v="58"/>
  </r>
  <r>
    <n v="3338"/>
    <s v="Víctor Lemos"/>
    <s v="Standard"/>
    <d v="2024-06-12T00:00:00"/>
    <x v="0"/>
    <n v="10"/>
    <x v="1"/>
    <s v="No"/>
    <s v="-"/>
    <s v="Yes"/>
    <n v="20"/>
    <n v="10"/>
    <n v="20"/>
  </r>
  <r>
    <n v="3339"/>
    <s v="Wilma Barros"/>
    <s v="Core"/>
    <d v="2024-06-13T00:00:00"/>
    <x v="1"/>
    <n v="5"/>
    <x v="2"/>
    <s v="No"/>
    <s v="-"/>
    <s v="No"/>
    <n v="0"/>
    <n v="1"/>
    <n v="4"/>
  </r>
  <r>
    <n v="3340"/>
    <s v="Xavier Nascimento"/>
    <s v="Ultimate"/>
    <d v="2024-06-14T00:00:00"/>
    <x v="0"/>
    <n v="15"/>
    <x v="0"/>
    <s v="Yes"/>
    <n v="30"/>
    <s v="Yes"/>
    <n v="20"/>
    <n v="15"/>
    <n v="50"/>
  </r>
  <r>
    <n v="3341"/>
    <s v="Yago Pereira"/>
    <s v="Standard"/>
    <d v="2024-06-15T00:00:00"/>
    <x v="1"/>
    <n v="10"/>
    <x v="0"/>
    <s v="No"/>
    <s v="-"/>
    <s v="Yes"/>
    <n v="20"/>
    <n v="5"/>
    <n v="25"/>
  </r>
  <r>
    <n v="3342"/>
    <s v="Zilda Ferreira"/>
    <s v="Core"/>
    <d v="2024-06-16T00:00:00"/>
    <x v="0"/>
    <n v="5"/>
    <x v="1"/>
    <s v="No"/>
    <s v="-"/>
    <s v="No"/>
    <n v="0"/>
    <n v="0"/>
    <n v="5"/>
  </r>
  <r>
    <n v="3343"/>
    <s v="Amanda Lopes"/>
    <s v="Ultimate"/>
    <d v="2024-06-17T00:00:00"/>
    <x v="1"/>
    <n v="15"/>
    <x v="2"/>
    <s v="Yes"/>
    <n v="30"/>
    <s v="Yes"/>
    <n v="20"/>
    <n v="20"/>
    <n v="45"/>
  </r>
  <r>
    <n v="3344"/>
    <s v="Bruno Miranda"/>
    <s v="Standard"/>
    <d v="2024-06-18T00:00:00"/>
    <x v="0"/>
    <n v="10"/>
    <x v="2"/>
    <s v="No"/>
    <s v="-"/>
    <s v="Yes"/>
    <n v="20"/>
    <n v="12"/>
    <n v="18"/>
  </r>
  <r>
    <n v="3345"/>
    <s v="Célia Torres"/>
    <s v="Core"/>
    <d v="2024-06-19T00:00:00"/>
    <x v="1"/>
    <n v="5"/>
    <x v="0"/>
    <s v="No"/>
    <s v="-"/>
    <s v="No"/>
    <n v="0"/>
    <n v="2"/>
    <n v="3"/>
  </r>
  <r>
    <n v="3346"/>
    <s v="Diogo Souza"/>
    <s v="Ultimate"/>
    <d v="2024-06-20T00:00:00"/>
    <x v="0"/>
    <n v="15"/>
    <x v="1"/>
    <s v="Yes"/>
    <n v="30"/>
    <s v="Yes"/>
    <n v="20"/>
    <n v="5"/>
    <n v="60"/>
  </r>
  <r>
    <n v="3347"/>
    <s v="Elisa Castro"/>
    <s v="Standard"/>
    <d v="2024-06-21T00:00:00"/>
    <x v="1"/>
    <n v="10"/>
    <x v="0"/>
    <s v="No"/>
    <s v="-"/>
    <s v="Yes"/>
    <n v="20"/>
    <n v="10"/>
    <n v="20"/>
  </r>
  <r>
    <n v="3348"/>
    <s v="Fátima Lima"/>
    <s v="Core"/>
    <d v="2024-06-22T00:00:00"/>
    <x v="0"/>
    <n v="5"/>
    <x v="2"/>
    <s v="No"/>
    <s v="-"/>
    <s v="No"/>
    <n v="0"/>
    <n v="0"/>
    <n v="5"/>
  </r>
  <r>
    <n v="3349"/>
    <s v="Geraldo Ribeiro"/>
    <s v="Ultimate"/>
    <d v="2024-06-23T00:00:00"/>
    <x v="1"/>
    <n v="15"/>
    <x v="0"/>
    <s v="Yes"/>
    <n v="30"/>
    <s v="Yes"/>
    <n v="20"/>
    <n v="3"/>
    <n v="62"/>
  </r>
  <r>
    <n v="3350"/>
    <s v="Hélio Martins"/>
    <s v="Standard"/>
    <d v="2024-06-24T00:00:00"/>
    <x v="0"/>
    <n v="10"/>
    <x v="1"/>
    <s v="No"/>
    <s v="-"/>
    <s v="Yes"/>
    <n v="20"/>
    <n v="15"/>
    <n v="15"/>
  </r>
  <r>
    <n v="3351"/>
    <s v="Íris Santos"/>
    <s v="Core"/>
    <d v="2024-06-25T00:00:00"/>
    <x v="1"/>
    <n v="5"/>
    <x v="0"/>
    <s v="No"/>
    <s v="-"/>
    <s v="No"/>
    <n v="0"/>
    <n v="1"/>
    <n v="4"/>
  </r>
  <r>
    <n v="3352"/>
    <s v="João Marcelo"/>
    <s v="Ultimate"/>
    <d v="2024-06-26T00:00:00"/>
    <x v="0"/>
    <n v="15"/>
    <x v="2"/>
    <s v="Yes"/>
    <n v="30"/>
    <s v="Yes"/>
    <n v="20"/>
    <n v="7"/>
    <n v="58"/>
  </r>
  <r>
    <n v="3353"/>
    <s v="Larissa Gomes"/>
    <s v="Standard"/>
    <d v="2024-06-27T00:00:00"/>
    <x v="1"/>
    <n v="10"/>
    <x v="0"/>
    <s v="No"/>
    <s v="-"/>
    <s v="Yes"/>
    <n v="20"/>
    <n v="10"/>
    <n v="20"/>
  </r>
  <r>
    <n v="3354"/>
    <s v="Márcio Silva"/>
    <s v="Core"/>
    <d v="2024-06-28T00:00:00"/>
    <x v="0"/>
    <n v="5"/>
    <x v="1"/>
    <s v="No"/>
    <s v="-"/>
    <s v="No"/>
    <n v="0"/>
    <n v="0"/>
    <n v="5"/>
  </r>
  <r>
    <n v="3355"/>
    <s v="Nadia Costa"/>
    <s v="Ultimate"/>
    <d v="2024-06-29T00:00:00"/>
    <x v="1"/>
    <n v="15"/>
    <x v="0"/>
    <s v="Yes"/>
    <n v="30"/>
    <s v="Yes"/>
    <n v="20"/>
    <n v="20"/>
    <n v="45"/>
  </r>
  <r>
    <n v="3356"/>
    <s v="Oscar Almeida"/>
    <s v="Standard"/>
    <d v="2024-06-30T00:00:00"/>
    <x v="0"/>
    <n v="10"/>
    <x v="2"/>
    <s v="No"/>
    <s v="-"/>
    <s v="Yes"/>
    <n v="20"/>
    <n v="15"/>
    <n v="15"/>
  </r>
  <r>
    <n v="3357"/>
    <s v="Patricia Soares"/>
    <s v="Core"/>
    <d v="2024-07-01T00:00:00"/>
    <x v="1"/>
    <n v="5"/>
    <x v="0"/>
    <s v="No"/>
    <s v="-"/>
    <s v="No"/>
    <n v="0"/>
    <n v="1"/>
    <n v="4"/>
  </r>
  <r>
    <n v="3358"/>
    <s v="Quênia Barros"/>
    <s v="Ultimate"/>
    <d v="2024-07-02T00:00:00"/>
    <x v="0"/>
    <n v="15"/>
    <x v="1"/>
    <s v="Yes"/>
    <n v="30"/>
    <s v="Yes"/>
    <n v="20"/>
    <n v="3"/>
    <n v="62"/>
  </r>
  <r>
    <n v="3359"/>
    <s v="Rafael Torres"/>
    <s v="Standard"/>
    <d v="2024-07-03T00:00:00"/>
    <x v="1"/>
    <n v="10"/>
    <x v="0"/>
    <s v="No"/>
    <s v="-"/>
    <s v="Yes"/>
    <n v="20"/>
    <n v="10"/>
    <n v="20"/>
  </r>
  <r>
    <n v="3360"/>
    <s v="Silvia Nascimento"/>
    <s v="Core"/>
    <d v="2024-07-04T00:00:00"/>
    <x v="0"/>
    <n v="5"/>
    <x v="2"/>
    <s v="No"/>
    <s v="-"/>
    <s v="No"/>
    <n v="0"/>
    <n v="0"/>
    <n v="5"/>
  </r>
  <r>
    <n v="3361"/>
    <s v="Tiago Mendes"/>
    <s v="Ultimate"/>
    <d v="2024-07-05T00:00:00"/>
    <x v="1"/>
    <n v="15"/>
    <x v="0"/>
    <s v="Yes"/>
    <n v="30"/>
    <s v="Yes"/>
    <n v="20"/>
    <n v="15"/>
    <n v="50"/>
  </r>
  <r>
    <n v="3362"/>
    <s v="Ursula Silva"/>
    <s v="Standard"/>
    <d v="2024-07-06T00:00:00"/>
    <x v="0"/>
    <n v="10"/>
    <x v="1"/>
    <s v="No"/>
    <s v="-"/>
    <s v="Yes"/>
    <n v="20"/>
    <n v="15"/>
    <n v="15"/>
  </r>
  <r>
    <n v="3363"/>
    <s v="Vanessa Moraes"/>
    <s v="Core"/>
    <d v="2024-07-07T00:00:00"/>
    <x v="1"/>
    <n v="5"/>
    <x v="0"/>
    <s v="No"/>
    <s v="-"/>
    <s v="No"/>
    <n v="0"/>
    <n v="1"/>
    <n v="4"/>
  </r>
  <r>
    <n v="3364"/>
    <s v="Waldir Junior"/>
    <s v="Ultimate"/>
    <d v="2024-07-08T00:00:00"/>
    <x v="0"/>
    <n v="15"/>
    <x v="2"/>
    <s v="Yes"/>
    <n v="30"/>
    <s v="Yes"/>
    <n v="20"/>
    <n v="7"/>
    <n v="58"/>
  </r>
  <r>
    <n v="3365"/>
    <s v="Xavier Lopes"/>
    <s v="Standard"/>
    <d v="2024-07-09T00:00:00"/>
    <x v="1"/>
    <n v="10"/>
    <x v="0"/>
    <s v="No"/>
    <s v="-"/>
    <s v="Yes"/>
    <n v="20"/>
    <n v="10"/>
    <n v="20"/>
  </r>
  <r>
    <n v="3366"/>
    <s v="Yolanda Freitas"/>
    <s v="Core"/>
    <d v="2024-07-10T00:00:00"/>
    <x v="0"/>
    <n v="5"/>
    <x v="0"/>
    <s v="No"/>
    <s v="-"/>
    <s v="No"/>
    <n v="0"/>
    <n v="0"/>
    <n v="5"/>
  </r>
  <r>
    <n v="3367"/>
    <s v="Zacarias Nunes"/>
    <s v="Ultimate"/>
    <d v="2024-07-11T00:00:00"/>
    <x v="1"/>
    <n v="15"/>
    <x v="2"/>
    <s v="Yes"/>
    <n v="30"/>
    <s v="Yes"/>
    <n v="20"/>
    <n v="7"/>
    <n v="58"/>
  </r>
  <r>
    <n v="3368"/>
    <s v="Ana Clara Barreto"/>
    <s v="Standard"/>
    <d v="2024-07-12T00:00:00"/>
    <x v="0"/>
    <n v="10"/>
    <x v="1"/>
    <s v="No"/>
    <s v="-"/>
    <s v="Yes"/>
    <n v="20"/>
    <n v="10"/>
    <n v="20"/>
  </r>
  <r>
    <n v="3369"/>
    <s v="Bruno Henrique"/>
    <s v="Core"/>
    <d v="2024-07-13T00:00:00"/>
    <x v="1"/>
    <n v="5"/>
    <x v="2"/>
    <s v="No"/>
    <s v="-"/>
    <s v="No"/>
    <n v="0"/>
    <n v="1"/>
    <n v="4"/>
  </r>
  <r>
    <n v="3370"/>
    <s v="Carlos Eduardo"/>
    <s v="Ultimate"/>
    <d v="2024-07-14T00:00:00"/>
    <x v="0"/>
    <n v="15"/>
    <x v="0"/>
    <s v="Yes"/>
    <n v="30"/>
    <s v="Yes"/>
    <n v="20"/>
    <n v="15"/>
    <n v="50"/>
  </r>
  <r>
    <n v="3371"/>
    <s v="Débora Lima"/>
    <s v="Standard"/>
    <d v="2024-07-15T00:00:00"/>
    <x v="1"/>
    <n v="10"/>
    <x v="0"/>
    <s v="No"/>
    <s v="-"/>
    <s v="Yes"/>
    <n v="20"/>
    <n v="5"/>
    <n v="25"/>
  </r>
  <r>
    <n v="3372"/>
    <s v="Elisa Neves"/>
    <s v="Core"/>
    <d v="2024-07-16T00:00:00"/>
    <x v="0"/>
    <n v="5"/>
    <x v="1"/>
    <s v="No"/>
    <s v="-"/>
    <s v="No"/>
    <n v="0"/>
    <n v="0"/>
    <n v="5"/>
  </r>
  <r>
    <n v="3373"/>
    <s v="Fabiano Gomes"/>
    <s v="Ultimate"/>
    <d v="2024-07-17T00:00:00"/>
    <x v="1"/>
    <n v="15"/>
    <x v="2"/>
    <s v="Yes"/>
    <n v="30"/>
    <s v="Yes"/>
    <n v="20"/>
    <n v="20"/>
    <n v="45"/>
  </r>
  <r>
    <n v="3374"/>
    <s v="Gisele Oliveira"/>
    <s v="Standard"/>
    <d v="2024-07-18T00:00:00"/>
    <x v="0"/>
    <n v="10"/>
    <x v="2"/>
    <s v="No"/>
    <s v="-"/>
    <s v="Yes"/>
    <n v="20"/>
    <n v="12"/>
    <n v="18"/>
  </r>
  <r>
    <n v="3375"/>
    <s v="Héctor Silva"/>
    <s v="Core"/>
    <d v="2024-07-19T00:00:00"/>
    <x v="1"/>
    <n v="5"/>
    <x v="0"/>
    <s v="No"/>
    <s v="-"/>
    <s v="No"/>
    <n v="0"/>
    <n v="2"/>
    <n v="3"/>
  </r>
  <r>
    <n v="3376"/>
    <s v="Igor Martins"/>
    <s v="Ultimate"/>
    <d v="2024-07-20T00:00:00"/>
    <x v="0"/>
    <n v="15"/>
    <x v="1"/>
    <s v="Yes"/>
    <n v="30"/>
    <s v="Yes"/>
    <n v="20"/>
    <n v="5"/>
    <n v="60"/>
  </r>
  <r>
    <n v="3377"/>
    <s v="Joana Figueiredo"/>
    <s v="Standard"/>
    <d v="2024-07-21T00:00:00"/>
    <x v="1"/>
    <n v="10"/>
    <x v="0"/>
    <s v="No"/>
    <s v="-"/>
    <s v="Yes"/>
    <n v="20"/>
    <n v="10"/>
    <n v="20"/>
  </r>
  <r>
    <n v="3378"/>
    <s v="Kleber Machado"/>
    <s v="Core"/>
    <d v="2024-07-22T00:00:00"/>
    <x v="0"/>
    <n v="5"/>
    <x v="2"/>
    <s v="No"/>
    <s v="-"/>
    <s v="No"/>
    <n v="0"/>
    <n v="0"/>
    <n v="5"/>
  </r>
  <r>
    <n v="3379"/>
    <s v="Luciana Santos"/>
    <s v="Ultimate"/>
    <d v="2024-07-23T00:00:00"/>
    <x v="1"/>
    <n v="15"/>
    <x v="0"/>
    <s v="Yes"/>
    <n v="30"/>
    <s v="Yes"/>
    <n v="20"/>
    <n v="3"/>
    <n v="62"/>
  </r>
  <r>
    <n v="3380"/>
    <s v="Marcos Teixeira"/>
    <s v="Standard"/>
    <d v="2024-07-24T00:00:00"/>
    <x v="0"/>
    <n v="10"/>
    <x v="1"/>
    <s v="No"/>
    <s v="-"/>
    <s v="Yes"/>
    <n v="20"/>
    <n v="15"/>
    <n v="15"/>
  </r>
  <r>
    <n v="3381"/>
    <s v="Natalia Costa"/>
    <s v="Core"/>
    <d v="2024-07-25T00:00:00"/>
    <x v="1"/>
    <n v="5"/>
    <x v="0"/>
    <s v="No"/>
    <s v="-"/>
    <s v="No"/>
    <n v="0"/>
    <n v="1"/>
    <n v="4"/>
  </r>
  <r>
    <n v="3382"/>
    <s v="Oscar Ribeiro"/>
    <s v="Ultimate"/>
    <d v="2024-07-26T00:00:00"/>
    <x v="0"/>
    <n v="15"/>
    <x v="2"/>
    <s v="Yes"/>
    <n v="30"/>
    <s v="Yes"/>
    <n v="20"/>
    <n v="7"/>
    <n v="58"/>
  </r>
  <r>
    <n v="3383"/>
    <s v="Patricia Almeida"/>
    <s v="Standard"/>
    <d v="2024-07-27T00:00:00"/>
    <x v="1"/>
    <n v="10"/>
    <x v="0"/>
    <s v="No"/>
    <s v="-"/>
    <s v="Yes"/>
    <n v="20"/>
    <n v="10"/>
    <n v="20"/>
  </r>
  <r>
    <n v="3384"/>
    <s v="Quirino Junior"/>
    <s v="Core"/>
    <d v="2024-07-28T00:00:00"/>
    <x v="0"/>
    <n v="5"/>
    <x v="1"/>
    <s v="No"/>
    <s v="-"/>
    <s v="No"/>
    <n v="0"/>
    <n v="0"/>
    <n v="5"/>
  </r>
  <r>
    <n v="3385"/>
    <s v="Renata Machado"/>
    <s v="Ultimate"/>
    <d v="2024-07-29T00:00:00"/>
    <x v="1"/>
    <n v="15"/>
    <x v="0"/>
    <s v="Yes"/>
    <n v="30"/>
    <s v="Yes"/>
    <n v="20"/>
    <n v="20"/>
    <n v="45"/>
  </r>
  <r>
    <n v="3386"/>
    <s v="Sônia Alves"/>
    <s v="Standard"/>
    <d v="2024-07-30T00:00:00"/>
    <x v="0"/>
    <n v="10"/>
    <x v="2"/>
    <s v="No"/>
    <s v="-"/>
    <s v="Yes"/>
    <n v="20"/>
    <n v="15"/>
    <n v="15"/>
  </r>
  <r>
    <n v="3387"/>
    <s v="Tiago Nunes"/>
    <s v="Core"/>
    <d v="2024-07-31T00:00:00"/>
    <x v="1"/>
    <n v="5"/>
    <x v="0"/>
    <s v="No"/>
    <s v="-"/>
    <s v="No"/>
    <n v="0"/>
    <n v="1"/>
    <n v="4"/>
  </r>
  <r>
    <n v="3388"/>
    <s v="Ulysses Pereira"/>
    <s v="Ultimate"/>
    <d v="2024-08-01T00:00:00"/>
    <x v="0"/>
    <n v="15"/>
    <x v="1"/>
    <s v="Yes"/>
    <n v="30"/>
    <s v="Yes"/>
    <n v="20"/>
    <n v="3"/>
    <n v="62"/>
  </r>
  <r>
    <n v="3389"/>
    <s v="Vanessa Lima"/>
    <s v="Standard"/>
    <d v="2024-08-02T00:00:00"/>
    <x v="1"/>
    <n v="10"/>
    <x v="0"/>
    <s v="No"/>
    <s v="-"/>
    <s v="Yes"/>
    <n v="20"/>
    <n v="10"/>
    <n v="20"/>
  </r>
  <r>
    <n v="3390"/>
    <s v="Wagner Santos"/>
    <s v="Core"/>
    <d v="2024-08-03T00:00:00"/>
    <x v="0"/>
    <n v="5"/>
    <x v="2"/>
    <s v="No"/>
    <s v="-"/>
    <s v="No"/>
    <n v="0"/>
    <n v="0"/>
    <n v="5"/>
  </r>
  <r>
    <n v="3391"/>
    <s v="Xuxa Meneghel"/>
    <s v="Ultimate"/>
    <d v="2024-08-04T00:00:00"/>
    <x v="1"/>
    <n v="15"/>
    <x v="0"/>
    <s v="Yes"/>
    <n v="30"/>
    <s v="Yes"/>
    <n v="20"/>
    <n v="15"/>
    <n v="50"/>
  </r>
  <r>
    <n v="3392"/>
    <s v="Yasmin Silva"/>
    <s v="Standard"/>
    <d v="2024-08-05T00:00:00"/>
    <x v="0"/>
    <n v="10"/>
    <x v="1"/>
    <s v="No"/>
    <s v="-"/>
    <s v="Yes"/>
    <n v="20"/>
    <n v="15"/>
    <n v="15"/>
  </r>
  <r>
    <n v="3393"/>
    <s v="Zacarias de Souza"/>
    <s v="Core"/>
    <d v="2024-08-06T00:00:00"/>
    <x v="1"/>
    <n v="5"/>
    <x v="0"/>
    <s v="No"/>
    <s v="-"/>
    <s v="No"/>
    <n v="0"/>
    <n v="1"/>
    <n v="4"/>
  </r>
  <r>
    <n v="3394"/>
    <s v="André Lima"/>
    <s v="Ultimate"/>
    <d v="2024-08-07T00:00:00"/>
    <x v="0"/>
    <n v="15"/>
    <x v="2"/>
    <s v="Yes"/>
    <n v="30"/>
    <s v="Yes"/>
    <n v="20"/>
    <n v="7"/>
    <n v="58"/>
  </r>
  <r>
    <n v="3395"/>
    <s v="Bianca Freitas"/>
    <s v="Standard"/>
    <d v="2024-08-08T00:00:00"/>
    <x v="1"/>
    <n v="10"/>
    <x v="0"/>
    <s v="No"/>
    <s v="-"/>
    <s v="Yes"/>
    <n v="20"/>
    <n v="10"/>
    <n v="20"/>
  </r>
  <r>
    <n v="3396"/>
    <s v="Caio Mendes"/>
    <s v="Core"/>
    <d v="2024-08-09T00:00:00"/>
    <x v="0"/>
    <n v="5"/>
    <x v="1"/>
    <s v="No"/>
    <s v="-"/>
    <s v="No"/>
    <n v="0"/>
    <n v="0"/>
    <n v="5"/>
  </r>
  <r>
    <n v="3397"/>
    <s v="Daniela Moura"/>
    <s v="Ultimate"/>
    <d v="2024-08-10T00:00:00"/>
    <x v="1"/>
    <n v="15"/>
    <x v="0"/>
    <s v="Yes"/>
    <n v="30"/>
    <s v="Yes"/>
    <n v="20"/>
    <n v="20"/>
    <n v="45"/>
  </r>
  <r>
    <n v="3398"/>
    <s v="Eduardo Costa"/>
    <s v="Standard"/>
    <d v="2024-08-11T00:00:00"/>
    <x v="0"/>
    <n v="10"/>
    <x v="2"/>
    <s v="No"/>
    <s v="-"/>
    <s v="Yes"/>
    <n v="20"/>
    <n v="15"/>
    <n v="15"/>
  </r>
  <r>
    <n v="3399"/>
    <s v="Fernanda Gomes"/>
    <s v="Core"/>
    <d v="2024-08-12T00:00:00"/>
    <x v="1"/>
    <n v="5"/>
    <x v="0"/>
    <s v="No"/>
    <s v="-"/>
    <s v="No"/>
    <n v="0"/>
    <n v="1"/>
    <n v="4"/>
  </r>
  <r>
    <n v="3400"/>
    <s v="Guilherme Souza"/>
    <s v="Ultimate"/>
    <d v="2024-08-13T00:00:00"/>
    <x v="0"/>
    <n v="15"/>
    <x v="1"/>
    <s v="Yes"/>
    <n v="30"/>
    <s v="Yes"/>
    <n v="20"/>
    <n v="5"/>
    <n v="60"/>
  </r>
  <r>
    <n v="3401"/>
    <s v="Helena Ribeiro"/>
    <s v="Standard"/>
    <d v="2024-08-14T00:00:00"/>
    <x v="1"/>
    <n v="10"/>
    <x v="0"/>
    <s v="No"/>
    <s v="-"/>
    <s v="Yes"/>
    <n v="20"/>
    <n v="10"/>
    <n v="20"/>
  </r>
  <r>
    <n v="3402"/>
    <s v="Igor Santos"/>
    <s v="Core"/>
    <d v="2024-08-15T00:00:00"/>
    <x v="0"/>
    <n v="5"/>
    <x v="2"/>
    <s v="No"/>
    <s v="-"/>
    <s v="No"/>
    <n v="0"/>
    <n v="0"/>
    <n v="5"/>
  </r>
  <r>
    <n v="3403"/>
    <s v="João Carvalho"/>
    <s v="Ultimate"/>
    <d v="2024-08-16T00:00:00"/>
    <x v="1"/>
    <n v="15"/>
    <x v="0"/>
    <s v="Yes"/>
    <n v="30"/>
    <s v="Yes"/>
    <n v="20"/>
    <n v="3"/>
    <n v="62"/>
  </r>
  <r>
    <n v="3404"/>
    <s v="Klara Fagundes"/>
    <s v="Standard"/>
    <d v="2024-08-17T00:00:00"/>
    <x v="0"/>
    <n v="10"/>
    <x v="1"/>
    <s v="No"/>
    <s v="-"/>
    <s v="Yes"/>
    <n v="20"/>
    <n v="15"/>
    <n v="15"/>
  </r>
  <r>
    <n v="3405"/>
    <s v="Lúcia Mendonça"/>
    <s v="Core"/>
    <d v="2024-08-18T00:00:00"/>
    <x v="1"/>
    <n v="5"/>
    <x v="0"/>
    <s v="No"/>
    <s v="-"/>
    <s v="No"/>
    <n v="0"/>
    <n v="1"/>
    <n v="4"/>
  </r>
  <r>
    <n v="3406"/>
    <s v="Marcelo Novaes"/>
    <s v="Core"/>
    <d v="2024-08-19T00:00:00"/>
    <x v="0"/>
    <n v="5"/>
    <x v="0"/>
    <s v="No"/>
    <s v="-"/>
    <s v="No"/>
    <n v="0"/>
    <n v="0"/>
    <n v="5"/>
  </r>
  <r>
    <n v="3407"/>
    <s v="Nina Pacheco"/>
    <s v="Ultimate"/>
    <d v="2024-08-20T00:00:00"/>
    <x v="1"/>
    <n v="15"/>
    <x v="2"/>
    <s v="Yes"/>
    <n v="30"/>
    <s v="Yes"/>
    <n v="20"/>
    <n v="7"/>
    <n v="58"/>
  </r>
  <r>
    <n v="3408"/>
    <s v="Olívia Rios"/>
    <s v="Standard"/>
    <d v="2024-08-21T00:00:00"/>
    <x v="0"/>
    <n v="10"/>
    <x v="1"/>
    <s v="No"/>
    <s v="-"/>
    <s v="Yes"/>
    <n v="20"/>
    <n v="10"/>
    <n v="20"/>
  </r>
  <r>
    <n v="3409"/>
    <s v="Paulo Quintana"/>
    <s v="Core"/>
    <d v="2024-08-22T00:00:00"/>
    <x v="1"/>
    <n v="5"/>
    <x v="2"/>
    <s v="No"/>
    <s v="-"/>
    <s v="No"/>
    <n v="0"/>
    <n v="1"/>
    <n v="4"/>
  </r>
  <r>
    <n v="3410"/>
    <s v="Raquel Domingos"/>
    <s v="Ultimate"/>
    <d v="2024-08-23T00:00:00"/>
    <x v="0"/>
    <n v="15"/>
    <x v="0"/>
    <s v="Yes"/>
    <n v="30"/>
    <s v="Yes"/>
    <n v="20"/>
    <n v="15"/>
    <n v="50"/>
  </r>
  <r>
    <n v="3411"/>
    <s v="Samuel Viana"/>
    <s v="Standard"/>
    <d v="2024-08-24T00:00:00"/>
    <x v="1"/>
    <n v="10"/>
    <x v="0"/>
    <s v="No"/>
    <s v="-"/>
    <s v="Yes"/>
    <n v="20"/>
    <n v="5"/>
    <n v="25"/>
  </r>
  <r>
    <n v="3412"/>
    <s v="Tatiane Rocha"/>
    <s v="Core"/>
    <d v="2024-08-25T00:00:00"/>
    <x v="0"/>
    <n v="5"/>
    <x v="1"/>
    <s v="No"/>
    <s v="-"/>
    <s v="No"/>
    <n v="0"/>
    <n v="0"/>
    <n v="5"/>
  </r>
  <r>
    <n v="3413"/>
    <s v="Ulysses Farias"/>
    <s v="Ultimate"/>
    <d v="2024-08-26T00:00:00"/>
    <x v="1"/>
    <n v="15"/>
    <x v="2"/>
    <s v="Yes"/>
    <n v="30"/>
    <s v="Yes"/>
    <n v="20"/>
    <n v="20"/>
    <n v="45"/>
  </r>
  <r>
    <n v="3414"/>
    <s v="Vanessa Moreira"/>
    <s v="Standard"/>
    <d v="2024-08-27T00:00:00"/>
    <x v="0"/>
    <n v="10"/>
    <x v="2"/>
    <s v="No"/>
    <s v="-"/>
    <s v="Yes"/>
    <n v="20"/>
    <n v="12"/>
    <n v="18"/>
  </r>
  <r>
    <n v="3415"/>
    <s v="William Carvalho"/>
    <s v="Core"/>
    <d v="2024-08-28T00:00:00"/>
    <x v="1"/>
    <n v="5"/>
    <x v="0"/>
    <s v="No"/>
    <s v="-"/>
    <s v="No"/>
    <n v="0"/>
    <n v="2"/>
    <n v="3"/>
  </r>
  <r>
    <n v="3416"/>
    <s v="Ximena Barros"/>
    <s v="Ultimate"/>
    <d v="2024-08-29T00:00:00"/>
    <x v="0"/>
    <n v="15"/>
    <x v="1"/>
    <s v="Yes"/>
    <n v="30"/>
    <s v="Yes"/>
    <n v="20"/>
    <n v="5"/>
    <n v="60"/>
  </r>
  <r>
    <n v="3417"/>
    <s v="Yara Machado"/>
    <s v="Standard"/>
    <d v="2024-08-30T00:00:00"/>
    <x v="1"/>
    <n v="10"/>
    <x v="0"/>
    <s v="No"/>
    <s v="-"/>
    <s v="Yes"/>
    <n v="20"/>
    <n v="10"/>
    <n v="20"/>
  </r>
  <r>
    <n v="3418"/>
    <s v="Zacarias Costa"/>
    <s v="Core"/>
    <d v="2024-08-31T00:00:00"/>
    <x v="0"/>
    <n v="5"/>
    <x v="2"/>
    <s v="No"/>
    <s v="-"/>
    <s v="No"/>
    <n v="0"/>
    <n v="0"/>
    <n v="5"/>
  </r>
  <r>
    <n v="3419"/>
    <s v="André Lopes"/>
    <s v="Ultimate"/>
    <d v="2024-09-01T00:00:00"/>
    <x v="1"/>
    <n v="15"/>
    <x v="0"/>
    <s v="Yes"/>
    <n v="30"/>
    <s v="Yes"/>
    <n v="20"/>
    <n v="3"/>
    <n v="62"/>
  </r>
  <r>
    <n v="3420"/>
    <s v="Beatriz Souza"/>
    <s v="Standard"/>
    <d v="2024-09-02T00:00:00"/>
    <x v="0"/>
    <n v="10"/>
    <x v="1"/>
    <s v="No"/>
    <s v="-"/>
    <s v="Yes"/>
    <n v="20"/>
    <n v="15"/>
    <n v="15"/>
  </r>
  <r>
    <n v="3421"/>
    <s v="Caio Pereira"/>
    <s v="Core"/>
    <d v="2024-09-03T00:00:00"/>
    <x v="1"/>
    <n v="5"/>
    <x v="0"/>
    <s v="No"/>
    <s v="-"/>
    <s v="No"/>
    <n v="0"/>
    <n v="1"/>
    <n v="4"/>
  </r>
  <r>
    <n v="3422"/>
    <s v="Daniela Araújo"/>
    <s v="Ultimate"/>
    <d v="2024-09-04T00:00:00"/>
    <x v="0"/>
    <n v="15"/>
    <x v="2"/>
    <s v="Yes"/>
    <n v="30"/>
    <s v="Yes"/>
    <n v="20"/>
    <n v="7"/>
    <n v="58"/>
  </r>
  <r>
    <n v="3423"/>
    <s v="Eduardo Santos"/>
    <s v="Standard"/>
    <d v="2024-09-05T00:00:00"/>
    <x v="1"/>
    <n v="10"/>
    <x v="0"/>
    <s v="No"/>
    <s v="-"/>
    <s v="Yes"/>
    <n v="20"/>
    <n v="10"/>
    <n v="20"/>
  </r>
  <r>
    <n v="3424"/>
    <s v="Fernanda Lima"/>
    <s v="Core"/>
    <d v="2024-09-06T00:00:00"/>
    <x v="0"/>
    <n v="5"/>
    <x v="1"/>
    <s v="No"/>
    <s v="-"/>
    <s v="No"/>
    <n v="0"/>
    <n v="0"/>
    <n v="5"/>
  </r>
  <r>
    <n v="3425"/>
    <s v="Gabriel Teixeira"/>
    <s v="Ultimate"/>
    <d v="2024-09-07T00:00:00"/>
    <x v="1"/>
    <n v="15"/>
    <x v="0"/>
    <s v="Yes"/>
    <n v="30"/>
    <s v="Yes"/>
    <n v="20"/>
    <n v="20"/>
    <n v="45"/>
  </r>
  <r>
    <n v="3426"/>
    <s v="Helena Ribeiro"/>
    <s v="Standard"/>
    <d v="2024-09-08T00:00:00"/>
    <x v="0"/>
    <n v="10"/>
    <x v="2"/>
    <s v="No"/>
    <s v="-"/>
    <s v="Yes"/>
    <n v="20"/>
    <n v="15"/>
    <n v="15"/>
  </r>
  <r>
    <n v="3427"/>
    <s v="Igor Mendes"/>
    <s v="Core"/>
    <d v="2024-09-09T00:00:00"/>
    <x v="1"/>
    <n v="5"/>
    <x v="0"/>
    <s v="No"/>
    <s v="-"/>
    <s v="No"/>
    <n v="0"/>
    <n v="1"/>
    <n v="4"/>
  </r>
  <r>
    <n v="3428"/>
    <s v="Joana Silveira"/>
    <s v="Ultimate"/>
    <d v="2024-09-10T00:00:00"/>
    <x v="0"/>
    <n v="15"/>
    <x v="1"/>
    <s v="Yes"/>
    <n v="30"/>
    <s v="Yes"/>
    <n v="20"/>
    <n v="3"/>
    <n v="62"/>
  </r>
  <r>
    <n v="3429"/>
    <s v="Lucas Martins"/>
    <s v="Standard"/>
    <d v="2024-09-11T00:00:00"/>
    <x v="1"/>
    <n v="10"/>
    <x v="0"/>
    <s v="No"/>
    <s v="-"/>
    <s v="Yes"/>
    <n v="20"/>
    <n v="10"/>
    <n v="20"/>
  </r>
  <r>
    <n v="3430"/>
    <s v="Marcela Gouveia"/>
    <s v="Core"/>
    <d v="2024-09-12T00:00:00"/>
    <x v="0"/>
    <n v="5"/>
    <x v="2"/>
    <s v="No"/>
    <s v="-"/>
    <s v="No"/>
    <n v="0"/>
    <n v="0"/>
    <n v="5"/>
  </r>
  <r>
    <n v="3431"/>
    <s v="Nicolas Borges"/>
    <s v="Ultimate"/>
    <d v="2024-09-13T00:00:00"/>
    <x v="1"/>
    <n v="15"/>
    <x v="0"/>
    <s v="Yes"/>
    <n v="30"/>
    <s v="Yes"/>
    <n v="20"/>
    <n v="15"/>
    <n v="50"/>
  </r>
  <r>
    <n v="3432"/>
    <s v="Olivia Freitas"/>
    <s v="Standard"/>
    <d v="2024-09-14T00:00:00"/>
    <x v="0"/>
    <n v="10"/>
    <x v="1"/>
    <s v="No"/>
    <s v="-"/>
    <s v="Yes"/>
    <n v="20"/>
    <n v="15"/>
    <n v="15"/>
  </r>
  <r>
    <n v="3433"/>
    <s v="Paulo Nogueira"/>
    <s v="Core"/>
    <d v="2024-09-15T00:00:00"/>
    <x v="1"/>
    <n v="5"/>
    <x v="0"/>
    <s v="No"/>
    <s v="-"/>
    <s v="No"/>
    <n v="0"/>
    <n v="1"/>
    <n v="4"/>
  </r>
  <r>
    <n v="3434"/>
    <s v="Raquel Andrade"/>
    <s v="Ultimate"/>
    <d v="2024-09-16T00:00:00"/>
    <x v="0"/>
    <n v="15"/>
    <x v="2"/>
    <s v="Yes"/>
    <n v="30"/>
    <s v="Yes"/>
    <n v="20"/>
    <n v="7"/>
    <n v="58"/>
  </r>
  <r>
    <n v="3435"/>
    <s v="Sônia Carvalho"/>
    <s v="Standard"/>
    <d v="2024-09-17T00:00:00"/>
    <x v="1"/>
    <n v="10"/>
    <x v="0"/>
    <s v="No"/>
    <s v="-"/>
    <s v="Yes"/>
    <n v="20"/>
    <n v="10"/>
    <n v="20"/>
  </r>
  <r>
    <n v="3436"/>
    <s v="Tiago Rodrigues"/>
    <s v="Core"/>
    <d v="2024-09-18T00:00:00"/>
    <x v="0"/>
    <n v="5"/>
    <x v="0"/>
    <s v="No"/>
    <s v="-"/>
    <s v="No"/>
    <n v="0"/>
    <n v="0"/>
    <n v="5"/>
  </r>
  <r>
    <n v="3437"/>
    <s v="Ursula Monteiro"/>
    <s v="Ultimate"/>
    <d v="2024-09-19T00:00:00"/>
    <x v="1"/>
    <n v="15"/>
    <x v="2"/>
    <s v="Yes"/>
    <n v="30"/>
    <s v="Yes"/>
    <n v="20"/>
    <n v="7"/>
    <n v="58"/>
  </r>
  <r>
    <n v="3438"/>
    <s v="Vanessa Pereira"/>
    <s v="Standard"/>
    <d v="2024-09-20T00:00:00"/>
    <x v="0"/>
    <n v="10"/>
    <x v="1"/>
    <s v="No"/>
    <s v="-"/>
    <s v="Yes"/>
    <n v="20"/>
    <n v="10"/>
    <n v="20"/>
  </r>
  <r>
    <n v="3439"/>
    <s v="Walter Silva"/>
    <s v="Core"/>
    <d v="2024-09-21T00:00:00"/>
    <x v="1"/>
    <n v="5"/>
    <x v="2"/>
    <s v="No"/>
    <s v="-"/>
    <s v="No"/>
    <n v="0"/>
    <n v="1"/>
    <n v="4"/>
  </r>
  <r>
    <n v="3440"/>
    <s v="Xavier Almeida"/>
    <s v="Ultimate"/>
    <d v="2024-09-22T00:00:00"/>
    <x v="0"/>
    <n v="15"/>
    <x v="0"/>
    <s v="Yes"/>
    <n v="30"/>
    <s v="Yes"/>
    <n v="20"/>
    <n v="15"/>
    <n v="50"/>
  </r>
  <r>
    <n v="3441"/>
    <s v="Yasmine Correia"/>
    <s v="Standard"/>
    <d v="2024-09-23T00:00:00"/>
    <x v="1"/>
    <n v="10"/>
    <x v="0"/>
    <s v="No"/>
    <s v="-"/>
    <s v="Yes"/>
    <n v="20"/>
    <n v="5"/>
    <n v="25"/>
  </r>
  <r>
    <n v="3442"/>
    <s v="Zacarias Almeida"/>
    <s v="Core"/>
    <d v="2024-09-24T00:00:00"/>
    <x v="0"/>
    <n v="5"/>
    <x v="1"/>
    <s v="No"/>
    <s v="-"/>
    <s v="No"/>
    <n v="0"/>
    <n v="0"/>
    <n v="5"/>
  </r>
  <r>
    <n v="3443"/>
    <s v="Amanda Costa"/>
    <s v="Ultimate"/>
    <d v="2024-09-25T00:00:00"/>
    <x v="1"/>
    <n v="15"/>
    <x v="2"/>
    <s v="Yes"/>
    <n v="30"/>
    <s v="Yes"/>
    <n v="20"/>
    <n v="20"/>
    <n v="45"/>
  </r>
  <r>
    <n v="3444"/>
    <s v="Bruno Ferreira"/>
    <s v="Standard"/>
    <d v="2024-09-26T00:00:00"/>
    <x v="0"/>
    <n v="10"/>
    <x v="2"/>
    <s v="No"/>
    <s v="-"/>
    <s v="Yes"/>
    <n v="20"/>
    <n v="12"/>
    <n v="18"/>
  </r>
  <r>
    <n v="3445"/>
    <s v="Carla Dias"/>
    <s v="Core"/>
    <d v="2024-09-27T00:00:00"/>
    <x v="1"/>
    <n v="5"/>
    <x v="0"/>
    <s v="No"/>
    <s v="-"/>
    <s v="No"/>
    <n v="0"/>
    <n v="2"/>
    <n v="3"/>
  </r>
  <r>
    <n v="3446"/>
    <s v="Diogo Martins"/>
    <s v="Ultimate"/>
    <d v="2024-09-28T00:00:00"/>
    <x v="0"/>
    <n v="15"/>
    <x v="1"/>
    <s v="Yes"/>
    <n v="30"/>
    <s v="Yes"/>
    <n v="20"/>
    <n v="5"/>
    <n v="60"/>
  </r>
  <r>
    <n v="3447"/>
    <s v="Elisa Campos"/>
    <s v="Standard"/>
    <d v="2024-09-29T00:00:00"/>
    <x v="1"/>
    <n v="10"/>
    <x v="0"/>
    <s v="No"/>
    <s v="-"/>
    <s v="Yes"/>
    <n v="20"/>
    <n v="10"/>
    <n v="20"/>
  </r>
  <r>
    <n v="3448"/>
    <s v="Fabiana Lima"/>
    <s v="Core"/>
    <d v="2024-09-30T00:00:00"/>
    <x v="0"/>
    <n v="5"/>
    <x v="2"/>
    <s v="No"/>
    <s v="-"/>
    <s v="No"/>
    <n v="0"/>
    <n v="0"/>
    <n v="5"/>
  </r>
  <r>
    <n v="3449"/>
    <s v="Gabriel Santos"/>
    <s v="Ultimate"/>
    <d v="2024-10-01T00:00:00"/>
    <x v="1"/>
    <n v="15"/>
    <x v="0"/>
    <s v="Yes"/>
    <n v="30"/>
    <s v="Yes"/>
    <n v="20"/>
    <n v="3"/>
    <n v="62"/>
  </r>
  <r>
    <n v="3450"/>
    <s v="Helena Ferreira"/>
    <s v="Standard"/>
    <d v="2024-10-02T00:00:00"/>
    <x v="0"/>
    <n v="10"/>
    <x v="1"/>
    <s v="No"/>
    <s v="-"/>
    <s v="Yes"/>
    <n v="20"/>
    <n v="15"/>
    <n v="15"/>
  </r>
  <r>
    <n v="3451"/>
    <s v="Ígor Nunes"/>
    <s v="Core"/>
    <d v="2024-10-03T00:00:00"/>
    <x v="1"/>
    <n v="5"/>
    <x v="0"/>
    <s v="No"/>
    <s v="-"/>
    <s v="No"/>
    <n v="0"/>
    <n v="1"/>
    <n v="4"/>
  </r>
  <r>
    <n v="3452"/>
    <s v="Joana Silveira"/>
    <s v="Ultimate"/>
    <d v="2024-10-04T00:00:00"/>
    <x v="0"/>
    <n v="15"/>
    <x v="2"/>
    <s v="Yes"/>
    <n v="30"/>
    <s v="Yes"/>
    <n v="20"/>
    <n v="7"/>
    <n v="58"/>
  </r>
  <r>
    <n v="3453"/>
    <s v="Kléber Oliveira"/>
    <s v="Standard"/>
    <d v="2024-10-05T00:00:00"/>
    <x v="1"/>
    <n v="10"/>
    <x v="0"/>
    <s v="No"/>
    <s v="-"/>
    <s v="Yes"/>
    <n v="20"/>
    <n v="10"/>
    <n v="20"/>
  </r>
  <r>
    <n v="3454"/>
    <s v="Luciana Morais"/>
    <s v="Core"/>
    <d v="2024-10-06T00:00:00"/>
    <x v="0"/>
    <n v="5"/>
    <x v="1"/>
    <s v="No"/>
    <s v="-"/>
    <s v="No"/>
    <n v="0"/>
    <n v="0"/>
    <n v="5"/>
  </r>
  <r>
    <n v="3455"/>
    <s v="Marcos Vinícius"/>
    <s v="Ultimate"/>
    <d v="2024-10-07T00:00:00"/>
    <x v="1"/>
    <n v="15"/>
    <x v="0"/>
    <s v="Yes"/>
    <n v="30"/>
    <s v="Yes"/>
    <n v="20"/>
    <n v="20"/>
    <n v="45"/>
  </r>
  <r>
    <n v="3456"/>
    <s v="Natália Barros"/>
    <s v="Standard"/>
    <d v="2024-10-08T00:00:00"/>
    <x v="0"/>
    <n v="10"/>
    <x v="2"/>
    <s v="No"/>
    <s v="-"/>
    <s v="Yes"/>
    <n v="20"/>
    <n v="15"/>
    <n v="15"/>
  </r>
  <r>
    <n v="3457"/>
    <s v="Oscar Sampaio"/>
    <s v="Core"/>
    <d v="2024-10-09T00:00:00"/>
    <x v="1"/>
    <n v="5"/>
    <x v="0"/>
    <s v="No"/>
    <s v="-"/>
    <s v="No"/>
    <n v="0"/>
    <n v="1"/>
    <n v="4"/>
  </r>
  <r>
    <n v="3458"/>
    <s v="Patrícia Leite"/>
    <s v="Ultimate"/>
    <d v="2024-10-10T00:00:00"/>
    <x v="0"/>
    <n v="15"/>
    <x v="1"/>
    <s v="Yes"/>
    <n v="30"/>
    <s v="Yes"/>
    <n v="20"/>
    <n v="3"/>
    <n v="62"/>
  </r>
  <r>
    <n v="3459"/>
    <s v="Quênia Rocha"/>
    <s v="Standard"/>
    <d v="2024-10-11T00:00:00"/>
    <x v="1"/>
    <n v="10"/>
    <x v="0"/>
    <s v="No"/>
    <s v="-"/>
    <s v="Yes"/>
    <n v="20"/>
    <n v="10"/>
    <n v="20"/>
  </r>
  <r>
    <n v="3460"/>
    <s v="Rafael Torres"/>
    <s v="Core"/>
    <d v="2024-10-12T00:00:00"/>
    <x v="0"/>
    <n v="5"/>
    <x v="2"/>
    <s v="No"/>
    <s v="-"/>
    <s v="No"/>
    <n v="0"/>
    <n v="0"/>
    <n v="5"/>
  </r>
  <r>
    <n v="3461"/>
    <s v="Sandra Gouveia"/>
    <s v="Ultimate"/>
    <d v="2024-10-13T00:00:00"/>
    <x v="1"/>
    <n v="15"/>
    <x v="0"/>
    <s v="Yes"/>
    <n v="30"/>
    <s v="Yes"/>
    <n v="20"/>
    <n v="15"/>
    <n v="50"/>
  </r>
  <r>
    <n v="3462"/>
    <s v="Tiago Lacerda"/>
    <s v="Standard"/>
    <d v="2024-10-14T00:00:00"/>
    <x v="0"/>
    <n v="10"/>
    <x v="1"/>
    <s v="No"/>
    <s v="-"/>
    <s v="Yes"/>
    <n v="20"/>
    <n v="15"/>
    <n v="15"/>
  </r>
  <r>
    <n v="3463"/>
    <s v="Ursula Fonseca"/>
    <s v="Core"/>
    <d v="2024-10-15T00:00:00"/>
    <x v="1"/>
    <n v="5"/>
    <x v="0"/>
    <s v="No"/>
    <s v="-"/>
    <s v="No"/>
    <n v="0"/>
    <n v="1"/>
    <n v="4"/>
  </r>
  <r>
    <n v="3464"/>
    <s v="Vanessa Andrade"/>
    <s v="Ultimate"/>
    <d v="2024-10-16T00:00:00"/>
    <x v="0"/>
    <n v="15"/>
    <x v="2"/>
    <s v="Yes"/>
    <n v="30"/>
    <s v="Yes"/>
    <n v="20"/>
    <n v="7"/>
    <n v="58"/>
  </r>
  <r>
    <n v="3465"/>
    <s v="William Castro"/>
    <s v="Standard"/>
    <d v="2024-10-17T00:00:00"/>
    <x v="1"/>
    <n v="10"/>
    <x v="0"/>
    <s v="No"/>
    <s v="-"/>
    <s v="Yes"/>
    <n v="20"/>
    <n v="10"/>
    <n v="20"/>
  </r>
  <r>
    <n v="3466"/>
    <s v="Xavier Monteiro"/>
    <s v="Core"/>
    <d v="2024-10-18T00:00:00"/>
    <x v="0"/>
    <n v="5"/>
    <x v="1"/>
    <s v="No"/>
    <s v="-"/>
    <s v="No"/>
    <n v="0"/>
    <n v="0"/>
    <n v="5"/>
  </r>
  <r>
    <n v="3467"/>
    <s v="Yasmin Figueira"/>
    <s v="Ultimate"/>
    <d v="2024-10-19T00:00:00"/>
    <x v="1"/>
    <n v="15"/>
    <x v="0"/>
    <s v="Yes"/>
    <n v="30"/>
    <s v="Yes"/>
    <n v="20"/>
    <n v="15"/>
    <n v="50"/>
  </r>
  <r>
    <n v="3468"/>
    <s v="Zacarias Mendonça"/>
    <s v="Standard"/>
    <d v="2024-10-20T00:00:00"/>
    <x v="0"/>
    <n v="10"/>
    <x v="2"/>
    <s v="No"/>
    <s v="-"/>
    <s v="Yes"/>
    <n v="20"/>
    <n v="12"/>
    <n v="18"/>
  </r>
  <r>
    <n v="3469"/>
    <s v="Amanda Menezes"/>
    <s v="Core"/>
    <d v="2024-10-21T00:00:00"/>
    <x v="1"/>
    <n v="5"/>
    <x v="0"/>
    <s v="No"/>
    <s v="-"/>
    <s v="No"/>
    <n v="0"/>
    <n v="2"/>
    <n v="3"/>
  </r>
  <r>
    <n v="3470"/>
    <s v="Bruno Santos"/>
    <s v="Ultimate"/>
    <d v="2024-10-22T00:00:00"/>
    <x v="0"/>
    <n v="15"/>
    <x v="1"/>
    <s v="Yes"/>
    <n v="30"/>
    <s v="Yes"/>
    <n v="20"/>
    <n v="5"/>
    <n v="60"/>
  </r>
  <r>
    <n v="3471"/>
    <s v="Carla Ferreira"/>
    <s v="Standard"/>
    <d v="2024-10-23T00:00:00"/>
    <x v="1"/>
    <n v="10"/>
    <x v="0"/>
    <s v="No"/>
    <s v="-"/>
    <s v="Yes"/>
    <n v="20"/>
    <n v="10"/>
    <n v="20"/>
  </r>
  <r>
    <n v="3472"/>
    <s v="Diogo Alves"/>
    <s v="Core"/>
    <d v="2024-10-24T00:00:00"/>
    <x v="0"/>
    <n v="5"/>
    <x v="2"/>
    <s v="No"/>
    <s v="-"/>
    <s v="No"/>
    <n v="0"/>
    <n v="0"/>
    <n v="5"/>
  </r>
  <r>
    <n v="3473"/>
    <s v="Elisa Neves"/>
    <s v="Ultimate"/>
    <d v="2024-10-25T00:00:00"/>
    <x v="1"/>
    <n v="15"/>
    <x v="0"/>
    <s v="Yes"/>
    <n v="30"/>
    <s v="Yes"/>
    <n v="20"/>
    <n v="3"/>
    <n v="62"/>
  </r>
  <r>
    <n v="3474"/>
    <s v="Fabiano Pires"/>
    <s v="Standard"/>
    <d v="2024-10-26T00:00:00"/>
    <x v="0"/>
    <n v="10"/>
    <x v="1"/>
    <s v="No"/>
    <s v="-"/>
    <s v="Yes"/>
    <n v="20"/>
    <n v="15"/>
    <n v="15"/>
  </r>
  <r>
    <n v="3475"/>
    <s v="Giovana Ribeiro"/>
    <s v="Core"/>
    <d v="2024-10-27T00:00:00"/>
    <x v="1"/>
    <n v="5"/>
    <x v="0"/>
    <s v="No"/>
    <s v="-"/>
    <s v="No"/>
    <n v="0"/>
    <n v="1"/>
    <n v="4"/>
  </r>
  <r>
    <n v="3476"/>
    <s v="Hélio Costa"/>
    <s v="Ultimate"/>
    <d v="2024-10-28T00:00:00"/>
    <x v="0"/>
    <n v="15"/>
    <x v="2"/>
    <s v="Yes"/>
    <n v="30"/>
    <s v="Yes"/>
    <n v="20"/>
    <n v="7"/>
    <n v="58"/>
  </r>
  <r>
    <n v="3477"/>
    <s v="Íris Loureiro"/>
    <s v="Standard"/>
    <d v="2024-10-29T00:00:00"/>
    <x v="1"/>
    <n v="10"/>
    <x v="0"/>
    <s v="No"/>
    <s v="-"/>
    <s v="Yes"/>
    <n v="20"/>
    <n v="10"/>
    <n v="20"/>
  </r>
  <r>
    <n v="3478"/>
    <s v="João Pereira"/>
    <s v="Core"/>
    <d v="2024-10-30T00:00:00"/>
    <x v="0"/>
    <n v="5"/>
    <x v="1"/>
    <s v="No"/>
    <s v="-"/>
    <s v="No"/>
    <n v="0"/>
    <n v="0"/>
    <n v="5"/>
  </r>
  <r>
    <n v="3479"/>
    <s v="Klara Silva"/>
    <s v="Ultimate"/>
    <d v="2024-10-31T00:00:00"/>
    <x v="1"/>
    <n v="15"/>
    <x v="0"/>
    <s v="Yes"/>
    <n v="30"/>
    <s v="Yes"/>
    <n v="20"/>
    <n v="20"/>
    <n v="45"/>
  </r>
  <r>
    <n v="3480"/>
    <s v="Luciana Barros"/>
    <s v="Standard"/>
    <d v="2024-11-01T00:00:00"/>
    <x v="0"/>
    <n v="10"/>
    <x v="2"/>
    <s v="No"/>
    <s v="-"/>
    <s v="Yes"/>
    <n v="20"/>
    <n v="15"/>
    <n v="15"/>
  </r>
  <r>
    <n v="3481"/>
    <s v="Marcos Gomes"/>
    <s v="Core"/>
    <d v="2024-11-02T00:00:00"/>
    <x v="1"/>
    <n v="5"/>
    <x v="0"/>
    <s v="No"/>
    <s v="-"/>
    <s v="No"/>
    <n v="0"/>
    <n v="1"/>
    <n v="4"/>
  </r>
  <r>
    <n v="3482"/>
    <s v="Natália Soares"/>
    <s v="Ultimate"/>
    <d v="2024-11-03T00:00:00"/>
    <x v="0"/>
    <n v="15"/>
    <x v="1"/>
    <s v="Yes"/>
    <n v="30"/>
    <s v="Yes"/>
    <n v="20"/>
    <n v="3"/>
    <n v="62"/>
  </r>
  <r>
    <n v="3483"/>
    <s v="Oscar Machado"/>
    <s v="Standard"/>
    <d v="2024-11-04T00:00:00"/>
    <x v="1"/>
    <n v="10"/>
    <x v="0"/>
    <s v="No"/>
    <s v="-"/>
    <s v="Yes"/>
    <n v="20"/>
    <n v="10"/>
    <n v="20"/>
  </r>
  <r>
    <n v="3484"/>
    <s v="Patrícia Lima"/>
    <s v="Core"/>
    <d v="2024-11-05T00:00:00"/>
    <x v="0"/>
    <n v="5"/>
    <x v="2"/>
    <s v="No"/>
    <s v="-"/>
    <s v="No"/>
    <n v="0"/>
    <n v="0"/>
    <n v="5"/>
  </r>
  <r>
    <n v="3485"/>
    <s v="Quirino Neto"/>
    <s v="Ultimate"/>
    <d v="2024-11-06T00:00:00"/>
    <x v="1"/>
    <n v="15"/>
    <x v="0"/>
    <s v="Yes"/>
    <n v="30"/>
    <s v="Yes"/>
    <n v="20"/>
    <n v="15"/>
    <n v="50"/>
  </r>
  <r>
    <n v="3486"/>
    <s v="Rafaela Souza"/>
    <s v="Core"/>
    <d v="2024-11-07T00:00:00"/>
    <x v="0"/>
    <n v="5"/>
    <x v="0"/>
    <s v="No"/>
    <s v="-"/>
    <s v="No"/>
    <n v="0"/>
    <n v="0"/>
    <n v="5"/>
  </r>
  <r>
    <n v="3487"/>
    <s v="Sandro Almeida"/>
    <s v="Ultimate"/>
    <d v="2024-11-08T00:00:00"/>
    <x v="1"/>
    <n v="15"/>
    <x v="2"/>
    <s v="Yes"/>
    <n v="30"/>
    <s v="Yes"/>
    <n v="20"/>
    <n v="7"/>
    <n v="58"/>
  </r>
  <r>
    <n v="3488"/>
    <s v="Tânia Ribeiro"/>
    <s v="Standard"/>
    <d v="2024-11-09T00:00:00"/>
    <x v="0"/>
    <n v="10"/>
    <x v="1"/>
    <s v="No"/>
    <s v="-"/>
    <s v="Yes"/>
    <n v="20"/>
    <n v="10"/>
    <n v="20"/>
  </r>
  <r>
    <n v="3489"/>
    <s v="Ugo Dias"/>
    <s v="Core"/>
    <d v="2024-11-10T00:00:00"/>
    <x v="1"/>
    <n v="5"/>
    <x v="2"/>
    <s v="No"/>
    <s v="-"/>
    <s v="No"/>
    <n v="0"/>
    <n v="1"/>
    <n v="4"/>
  </r>
  <r>
    <n v="3490"/>
    <s v="Valéria Lima"/>
    <s v="Ultimate"/>
    <d v="2024-11-11T00:00:00"/>
    <x v="0"/>
    <n v="15"/>
    <x v="0"/>
    <s v="Yes"/>
    <n v="30"/>
    <s v="Yes"/>
    <n v="20"/>
    <n v="15"/>
    <n v="50"/>
  </r>
  <r>
    <n v="3491"/>
    <s v="William Fernandes"/>
    <s v="Standard"/>
    <d v="2024-11-12T00:00:00"/>
    <x v="1"/>
    <n v="10"/>
    <x v="0"/>
    <s v="No"/>
    <s v="-"/>
    <s v="Yes"/>
    <n v="20"/>
    <n v="5"/>
    <n v="25"/>
  </r>
  <r>
    <n v="3492"/>
    <s v="Xuxa Mendes"/>
    <s v="Core"/>
    <d v="2024-11-13T00:00:00"/>
    <x v="0"/>
    <n v="5"/>
    <x v="1"/>
    <s v="No"/>
    <s v="-"/>
    <s v="No"/>
    <n v="0"/>
    <n v="0"/>
    <n v="5"/>
  </r>
  <r>
    <n v="3493"/>
    <s v="Ygor Farias"/>
    <s v="Ultimate"/>
    <d v="2024-11-14T00:00:00"/>
    <x v="1"/>
    <n v="15"/>
    <x v="2"/>
    <s v="Yes"/>
    <n v="30"/>
    <s v="Yes"/>
    <n v="20"/>
    <n v="20"/>
    <n v="45"/>
  </r>
  <r>
    <n v="3494"/>
    <s v="Zilda Barros"/>
    <s v="Standard"/>
    <d v="2024-11-15T00:00:00"/>
    <x v="0"/>
    <n v="10"/>
    <x v="2"/>
    <s v="No"/>
    <s v="-"/>
    <s v="Yes"/>
    <n v="20"/>
    <n v="12"/>
    <n v="18"/>
  </r>
  <r>
    <n v="3495"/>
    <s v="Amanda Santos"/>
    <s v="Core"/>
    <d v="2024-11-16T00:00:00"/>
    <x v="1"/>
    <n v="5"/>
    <x v="0"/>
    <s v="No"/>
    <s v="-"/>
    <s v="No"/>
    <n v="0"/>
    <n v="2"/>
    <n v="3"/>
  </r>
  <r>
    <n v="3496"/>
    <s v="Bruno Costa"/>
    <s v="Ultimate"/>
    <d v="2024-11-17T00:00:00"/>
    <x v="0"/>
    <n v="15"/>
    <x v="1"/>
    <s v="Yes"/>
    <n v="30"/>
    <s v="Yes"/>
    <n v="20"/>
    <n v="5"/>
    <n v="60"/>
  </r>
  <r>
    <n v="3497"/>
    <s v="Carla Rodrigues"/>
    <s v="Standard"/>
    <d v="2024-11-18T00:00:00"/>
    <x v="1"/>
    <n v="10"/>
    <x v="0"/>
    <s v="No"/>
    <s v="-"/>
    <s v="Yes"/>
    <n v="20"/>
    <n v="10"/>
    <n v="20"/>
  </r>
  <r>
    <n v="3498"/>
    <s v="Diogo Pereira"/>
    <s v="Core"/>
    <d v="2024-11-19T00:00:00"/>
    <x v="0"/>
    <n v="5"/>
    <x v="2"/>
    <s v="No"/>
    <s v="-"/>
    <s v="No"/>
    <n v="0"/>
    <n v="0"/>
    <n v="5"/>
  </r>
  <r>
    <n v="3499"/>
    <s v="Elisa Correia"/>
    <s v="Ultimate"/>
    <d v="2024-11-20T00:00:00"/>
    <x v="1"/>
    <n v="15"/>
    <x v="0"/>
    <s v="Yes"/>
    <n v="30"/>
    <s v="Yes"/>
    <n v="20"/>
    <n v="3"/>
    <n v="62"/>
  </r>
  <r>
    <n v="3500"/>
    <s v="Fábio Lourenço"/>
    <s v="Standard"/>
    <d v="2024-11-21T00:00:00"/>
    <x v="0"/>
    <n v="10"/>
    <x v="1"/>
    <s v="No"/>
    <s v="-"/>
    <s v="Yes"/>
    <n v="20"/>
    <n v="15"/>
    <n v="15"/>
  </r>
  <r>
    <n v="3501"/>
    <s v="Gabriela Neves"/>
    <s v="Core"/>
    <d v="2024-11-22T00:00:00"/>
    <x v="1"/>
    <n v="5"/>
    <x v="0"/>
    <s v="No"/>
    <s v="-"/>
    <s v="No"/>
    <n v="0"/>
    <n v="1"/>
    <n v="4"/>
  </r>
  <r>
    <n v="3502"/>
    <s v="Henrique Gonçalves"/>
    <s v="Ultimate"/>
    <d v="2024-11-23T00:00:00"/>
    <x v="0"/>
    <n v="15"/>
    <x v="2"/>
    <s v="Yes"/>
    <n v="30"/>
    <s v="Yes"/>
    <n v="20"/>
    <n v="7"/>
    <n v="58"/>
  </r>
  <r>
    <n v="3503"/>
    <s v="Íris Santos"/>
    <s v="Standard"/>
    <d v="2024-11-24T00:00:00"/>
    <x v="1"/>
    <n v="10"/>
    <x v="0"/>
    <s v="No"/>
    <s v="-"/>
    <s v="Yes"/>
    <n v="20"/>
    <n v="10"/>
    <n v="20"/>
  </r>
  <r>
    <n v="3504"/>
    <s v="João Marcelo Alves"/>
    <s v="Core"/>
    <d v="2024-11-25T00:00:00"/>
    <x v="0"/>
    <n v="5"/>
    <x v="1"/>
    <s v="No"/>
    <s v="-"/>
    <s v="No"/>
    <n v="0"/>
    <n v="0"/>
    <n v="5"/>
  </r>
  <r>
    <n v="3505"/>
    <s v="Klara Fonseca"/>
    <s v="Ultimate"/>
    <d v="2024-11-26T00:00:00"/>
    <x v="1"/>
    <n v="15"/>
    <x v="0"/>
    <s v="Yes"/>
    <n v="30"/>
    <s v="Yes"/>
    <n v="20"/>
    <n v="20"/>
    <n v="45"/>
  </r>
  <r>
    <n v="3506"/>
    <s v="Lucas Mendonça"/>
    <s v="Standard"/>
    <d v="2024-11-27T00:00:00"/>
    <x v="0"/>
    <n v="10"/>
    <x v="2"/>
    <s v="No"/>
    <s v="-"/>
    <s v="Yes"/>
    <n v="20"/>
    <n v="15"/>
    <n v="15"/>
  </r>
  <r>
    <n v="3507"/>
    <s v="Marcela Torres"/>
    <s v="Core"/>
    <d v="2024-11-28T00:00:00"/>
    <x v="1"/>
    <n v="5"/>
    <x v="0"/>
    <s v="No"/>
    <s v="-"/>
    <s v="No"/>
    <n v="0"/>
    <n v="1"/>
    <n v="4"/>
  </r>
  <r>
    <n v="3508"/>
    <s v="Natália Castro"/>
    <s v="Ultimate"/>
    <d v="2024-11-29T00:00:00"/>
    <x v="0"/>
    <n v="15"/>
    <x v="1"/>
    <s v="Yes"/>
    <n v="30"/>
    <s v="Yes"/>
    <n v="20"/>
    <n v="3"/>
    <n v="62"/>
  </r>
  <r>
    <n v="3509"/>
    <s v="Oscar Martins"/>
    <s v="Standard"/>
    <d v="2024-11-30T00:00:00"/>
    <x v="1"/>
    <n v="10"/>
    <x v="0"/>
    <s v="No"/>
    <s v="-"/>
    <s v="Yes"/>
    <n v="20"/>
    <n v="10"/>
    <n v="20"/>
  </r>
  <r>
    <n v="3510"/>
    <s v="Patrícia Oliveira"/>
    <s v="Core"/>
    <d v="2024-12-01T00:00:00"/>
    <x v="0"/>
    <n v="5"/>
    <x v="2"/>
    <s v="No"/>
    <s v="-"/>
    <s v="No"/>
    <n v="0"/>
    <n v="0"/>
    <n v="5"/>
  </r>
  <r>
    <n v="3511"/>
    <s v="Quentin Nogueira"/>
    <s v="Ultimate"/>
    <d v="2024-12-02T00:00:00"/>
    <x v="1"/>
    <n v="15"/>
    <x v="0"/>
    <s v="Yes"/>
    <n v="30"/>
    <s v="Yes"/>
    <n v="20"/>
    <n v="15"/>
    <n v="50"/>
  </r>
  <r>
    <n v="3512"/>
    <s v="Raquel Silva"/>
    <s v="Standard"/>
    <d v="2024-12-03T00:00:00"/>
    <x v="0"/>
    <n v="10"/>
    <x v="1"/>
    <s v="No"/>
    <s v="-"/>
    <s v="Yes"/>
    <n v="20"/>
    <n v="15"/>
    <n v="15"/>
  </r>
  <r>
    <n v="3513"/>
    <s v="Sandro Gomes"/>
    <s v="Core"/>
    <d v="2024-12-04T00:00:00"/>
    <x v="1"/>
    <n v="5"/>
    <x v="0"/>
    <s v="No"/>
    <s v="-"/>
    <s v="No"/>
    <n v="0"/>
    <n v="1"/>
    <n v="4"/>
  </r>
  <r>
    <n v="3514"/>
    <s v="Tânia Machado"/>
    <s v="Ultimate"/>
    <d v="2024-12-05T00:00:00"/>
    <x v="0"/>
    <n v="15"/>
    <x v="2"/>
    <s v="Yes"/>
    <n v="30"/>
    <s v="Yes"/>
    <n v="20"/>
    <n v="7"/>
    <n v="58"/>
  </r>
  <r>
    <n v="3515"/>
    <s v="Ursula Silva"/>
    <s v="Standard"/>
    <d v="2024-12-06T00:00:00"/>
    <x v="1"/>
    <n v="10"/>
    <x v="0"/>
    <s v="No"/>
    <s v="-"/>
    <s v="Yes"/>
    <n v="20"/>
    <n v="10"/>
    <n v="20"/>
  </r>
  <r>
    <n v="3516"/>
    <s v="Vanessa Moraes"/>
    <s v="Core"/>
    <d v="2024-12-07T00:00:00"/>
    <x v="0"/>
    <n v="5"/>
    <x v="1"/>
    <s v="No"/>
    <s v="-"/>
    <s v="No"/>
    <n v="0"/>
    <n v="0"/>
    <n v="5"/>
  </r>
  <r>
    <n v="3517"/>
    <s v="William Carvalho"/>
    <s v="Ultimate"/>
    <d v="2024-12-08T00:00:00"/>
    <x v="1"/>
    <n v="15"/>
    <x v="0"/>
    <s v="Yes"/>
    <n v="30"/>
    <s v="Yes"/>
    <n v="20"/>
    <n v="20"/>
    <n v="45"/>
  </r>
  <r>
    <n v="3518"/>
    <s v="Xavier Reis"/>
    <s v="Standard"/>
    <d v="2024-12-09T00:00:00"/>
    <x v="0"/>
    <n v="10"/>
    <x v="2"/>
    <s v="No"/>
    <s v="-"/>
    <s v="Yes"/>
    <n v="20"/>
    <n v="12"/>
    <n v="18"/>
  </r>
  <r>
    <n v="3519"/>
    <s v="Yasmin Rocha"/>
    <s v="Core"/>
    <d v="2024-12-10T00:00:00"/>
    <x v="1"/>
    <n v="5"/>
    <x v="0"/>
    <s v="No"/>
    <s v="-"/>
    <s v="No"/>
    <n v="0"/>
    <n v="2"/>
    <n v="3"/>
  </r>
  <r>
    <n v="3520"/>
    <s v="Zacarias Duarte"/>
    <s v="Ultimate"/>
    <d v="2024-12-11T00:00:00"/>
    <x v="0"/>
    <n v="15"/>
    <x v="1"/>
    <s v="Yes"/>
    <n v="30"/>
    <s v="Yes"/>
    <n v="20"/>
    <n v="5"/>
    <n v="60"/>
  </r>
  <r>
    <n v="3521"/>
    <s v="Amanda Freitas"/>
    <s v="Standard"/>
    <d v="2024-12-12T00:00:00"/>
    <x v="1"/>
    <n v="10"/>
    <x v="0"/>
    <s v="No"/>
    <s v="-"/>
    <s v="Yes"/>
    <n v="20"/>
    <n v="10"/>
    <n v="20"/>
  </r>
  <r>
    <n v="3522"/>
    <s v="Bruno Almeida"/>
    <s v="Core"/>
    <d v="2024-12-13T00:00:00"/>
    <x v="0"/>
    <n v="5"/>
    <x v="2"/>
    <s v="No"/>
    <s v="-"/>
    <s v="No"/>
    <n v="0"/>
    <n v="0"/>
    <n v="5"/>
  </r>
  <r>
    <n v="3523"/>
    <s v="Carla Siqueira"/>
    <s v="Ultimate"/>
    <d v="2024-12-14T00:00:00"/>
    <x v="1"/>
    <n v="15"/>
    <x v="0"/>
    <s v="Yes"/>
    <n v="30"/>
    <s v="Yes"/>
    <n v="20"/>
    <n v="3"/>
    <n v="62"/>
  </r>
  <r>
    <n v="3524"/>
    <s v="Diogo Ramos"/>
    <s v="Standard"/>
    <d v="2024-12-15T00:00:00"/>
    <x v="0"/>
    <n v="10"/>
    <x v="1"/>
    <s v="No"/>
    <s v="-"/>
    <s v="Yes"/>
    <n v="20"/>
    <n v="15"/>
    <n v="15"/>
  </r>
  <r>
    <n v="3525"/>
    <s v="Elisa Magalhães"/>
    <s v="Core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CCB24-0C7E-49B0-8C29-E31C71F9080E}" name="Tabela dinâ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1:B22" firstHeaderRow="1" firstDataRow="1" firstDataCol="0" rowPageCount="1" colPageCount="1"/>
  <pivotFields count="13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Items count="1">
    <i/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3A079-6D7D-4A53-920A-3CA73FC16CD8}" name="Tabela dinâ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5:B16" firstHeaderRow="1" firstDataRow="1" firstDataCol="0" rowPageCount="1" colPageCount="1"/>
  <pivotFields count="13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Items count="1">
    <i/>
  </rowItems>
  <colItems count="1">
    <i/>
  </colItems>
  <pageFields count="1">
    <pageField fld="6" item="1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086D5-2928-4CB7-8ECB-993468A0F9AE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5:C8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E53268B-73AF-491E-9DDE-7A488A3A819E}" sourceName="Subscription Type">
  <pivotTables>
    <pivotTable tabId="3" name="Tabela dinâmica1"/>
    <pivotTable tabId="3" name="Tabela dinâmica2"/>
    <pivotTable tabId="3" name="Tabela dinâmica3"/>
  </pivotTables>
  <data>
    <tabular pivotCacheId="498486273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C2C8E45-5250-45F0-8AC0-66A58771A742}" cache="SegmentaçãodeDados_Subscription_Type" caption="Subscription Type" style="Segmentação Menu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8" sqref="D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8" sqref="D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28515625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>
        <v>898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D22"/>
  <sheetViews>
    <sheetView showGridLines="0" workbookViewId="0">
      <selection activeCell="D8" sqref="D8"/>
    </sheetView>
  </sheetViews>
  <sheetFormatPr defaultRowHeight="15" x14ac:dyDescent="0.25"/>
  <cols>
    <col min="2" max="2" width="35.140625" bestFit="1" customWidth="1"/>
    <col min="3" max="3" width="10.28515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4" x14ac:dyDescent="0.25">
      <c r="B3" s="12" t="s">
        <v>16</v>
      </c>
      <c r="C3" t="s">
        <v>20</v>
      </c>
    </row>
    <row r="5" spans="2:4" x14ac:dyDescent="0.25">
      <c r="B5" s="12" t="s">
        <v>314</v>
      </c>
      <c r="C5" t="s">
        <v>313</v>
      </c>
    </row>
    <row r="6" spans="2:4" x14ac:dyDescent="0.25">
      <c r="B6" s="14" t="s">
        <v>23</v>
      </c>
      <c r="C6" s="13">
        <v>2824</v>
      </c>
    </row>
    <row r="7" spans="2:4" x14ac:dyDescent="0.25">
      <c r="B7" s="14" t="s">
        <v>19</v>
      </c>
      <c r="C7" s="13">
        <v>747</v>
      </c>
    </row>
    <row r="8" spans="2:4" x14ac:dyDescent="0.25">
      <c r="B8" s="14" t="s">
        <v>315</v>
      </c>
      <c r="C8" s="13">
        <v>3571</v>
      </c>
      <c r="D8" s="15">
        <f>GETPIVOTDATA("Total Value",$B$5)</f>
        <v>3571</v>
      </c>
    </row>
    <row r="13" spans="2:4" x14ac:dyDescent="0.25">
      <c r="B13" s="12" t="s">
        <v>16</v>
      </c>
      <c r="C13" t="s">
        <v>20</v>
      </c>
    </row>
    <row r="15" spans="2:4" x14ac:dyDescent="0.25">
      <c r="B15" t="s">
        <v>316</v>
      </c>
    </row>
    <row r="16" spans="2:4" x14ac:dyDescent="0.25">
      <c r="B16" s="18">
        <v>1350</v>
      </c>
      <c r="C16" s="15">
        <f>GETPIVOTDATA("EA Play Season Pass
Price",$B$15)</f>
        <v>1350</v>
      </c>
    </row>
    <row r="19" spans="2:3" x14ac:dyDescent="0.25">
      <c r="B19" s="12" t="s">
        <v>16</v>
      </c>
      <c r="C19" t="s">
        <v>20</v>
      </c>
    </row>
    <row r="21" spans="2:3" x14ac:dyDescent="0.25">
      <c r="B21" t="s">
        <v>318</v>
      </c>
    </row>
    <row r="22" spans="2:3" x14ac:dyDescent="0.25">
      <c r="B22" s="13">
        <v>1800</v>
      </c>
      <c r="C22" s="15">
        <f>GETPIVOTDATA("Minecraft Season Pass Price",$B$21)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3:P101"/>
  <sheetViews>
    <sheetView showGridLines="0" showRowColHeaders="0" tabSelected="1" zoomScale="130" zoomScaleNormal="130" workbookViewId="0">
      <selection activeCell="R21" sqref="R21"/>
    </sheetView>
  </sheetViews>
  <sheetFormatPr defaultRowHeight="15" customHeight="1" x14ac:dyDescent="0.25"/>
  <cols>
    <col min="1" max="1" width="32.7109375" style="4" customWidth="1"/>
    <col min="2" max="2" width="3.5703125" customWidth="1"/>
    <col min="12" max="12" width="6.5703125" customWidth="1"/>
  </cols>
  <sheetData>
    <row r="3" spans="1:16" ht="20.100000000000001" customHeight="1" thickBot="1" x14ac:dyDescent="0.3">
      <c r="D3" s="17" t="s">
        <v>317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ht="15" customHeight="1" thickTop="1" x14ac:dyDescent="0.25"/>
    <row r="6" spans="1:16" s="7" customFormat="1" ht="15" customHeight="1" x14ac:dyDescent="0.25">
      <c r="A6" s="4"/>
    </row>
    <row r="7" spans="1:16" s="7" customFormat="1" ht="15" customHeight="1" x14ac:dyDescent="0.25">
      <c r="A7" s="16" t="s">
        <v>319</v>
      </c>
    </row>
    <row r="8" spans="1:16" s="7" customFormat="1" ht="15" customHeight="1" x14ac:dyDescent="0.25">
      <c r="A8" s="4"/>
    </row>
    <row r="9" spans="1:16" s="7" customFormat="1" ht="15" customHeight="1" x14ac:dyDescent="0.25">
      <c r="A9" s="4"/>
    </row>
    <row r="10" spans="1:16" s="7" customFormat="1" ht="15" customHeight="1" x14ac:dyDescent="0.25">
      <c r="A10" s="4"/>
    </row>
    <row r="11" spans="1:16" s="7" customFormat="1" ht="15" customHeight="1" x14ac:dyDescent="0.25">
      <c r="A11" s="4"/>
    </row>
    <row r="12" spans="1:16" s="7" customFormat="1" ht="15" customHeight="1" x14ac:dyDescent="0.25">
      <c r="A12" s="4"/>
    </row>
    <row r="13" spans="1:16" s="7" customFormat="1" ht="15" customHeight="1" x14ac:dyDescent="0.25">
      <c r="A13" s="4"/>
    </row>
    <row r="14" spans="1:16" s="7" customFormat="1" ht="15" customHeight="1" x14ac:dyDescent="0.25">
      <c r="A14" s="4"/>
    </row>
    <row r="15" spans="1:16" s="7" customFormat="1" ht="15" customHeight="1" x14ac:dyDescent="0.25">
      <c r="A15" s="4"/>
    </row>
    <row r="16" spans="1:16" s="7" customFormat="1" ht="15" customHeight="1" x14ac:dyDescent="0.25">
      <c r="A16" s="4"/>
    </row>
    <row r="17" spans="1:1" s="7" customFormat="1" ht="15" customHeight="1" x14ac:dyDescent="0.25">
      <c r="A17" s="4"/>
    </row>
    <row r="18" spans="1:1" s="7" customFormat="1" ht="15" customHeight="1" x14ac:dyDescent="0.25">
      <c r="A18" s="4"/>
    </row>
    <row r="19" spans="1:1" s="7" customFormat="1" ht="15" customHeight="1" x14ac:dyDescent="0.25">
      <c r="A19" s="4"/>
    </row>
    <row r="20" spans="1:1" s="7" customFormat="1" ht="15" customHeight="1" x14ac:dyDescent="0.25">
      <c r="A20" s="4"/>
    </row>
    <row r="21" spans="1:1" s="7" customFormat="1" ht="15" customHeight="1" x14ac:dyDescent="0.25">
      <c r="A21" s="4"/>
    </row>
    <row r="22" spans="1:1" s="7" customFormat="1" ht="15" customHeight="1" x14ac:dyDescent="0.25">
      <c r="A22" s="4"/>
    </row>
    <row r="23" spans="1:1" s="7" customFormat="1" ht="15" customHeight="1" x14ac:dyDescent="0.25">
      <c r="A23" s="4"/>
    </row>
    <row r="24" spans="1:1" s="7" customFormat="1" ht="15" customHeight="1" x14ac:dyDescent="0.25">
      <c r="A24" s="4"/>
    </row>
    <row r="25" spans="1:1" s="7" customFormat="1" ht="15" customHeight="1" x14ac:dyDescent="0.25">
      <c r="A25" s="4"/>
    </row>
    <row r="26" spans="1:1" s="7" customFormat="1" ht="15" customHeight="1" x14ac:dyDescent="0.25">
      <c r="A26" s="4"/>
    </row>
    <row r="27" spans="1:1" s="7" customFormat="1" ht="15" customHeight="1" x14ac:dyDescent="0.25">
      <c r="A27" s="4"/>
    </row>
    <row r="28" spans="1:1" s="7" customFormat="1" ht="15" customHeight="1" x14ac:dyDescent="0.25">
      <c r="A28" s="4"/>
    </row>
    <row r="29" spans="1:1" s="7" customFormat="1" ht="15" customHeight="1" x14ac:dyDescent="0.25">
      <c r="A29" s="4"/>
    </row>
    <row r="30" spans="1:1" s="7" customFormat="1" ht="15" customHeight="1" x14ac:dyDescent="0.25">
      <c r="A30" s="4"/>
    </row>
    <row r="31" spans="1:1" s="7" customFormat="1" ht="15" customHeight="1" x14ac:dyDescent="0.25">
      <c r="A31" s="4"/>
    </row>
    <row r="32" spans="1:1" s="7" customFormat="1" ht="15" customHeight="1" x14ac:dyDescent="0.25">
      <c r="A32" s="4"/>
    </row>
    <row r="33" spans="1:1" s="7" customFormat="1" ht="15" customHeight="1" x14ac:dyDescent="0.25">
      <c r="A33" s="4"/>
    </row>
    <row r="34" spans="1:1" s="7" customFormat="1" ht="15" customHeight="1" x14ac:dyDescent="0.25">
      <c r="A34" s="4"/>
    </row>
    <row r="35" spans="1:1" s="7" customFormat="1" ht="15" customHeight="1" x14ac:dyDescent="0.25">
      <c r="A35" s="4"/>
    </row>
    <row r="36" spans="1:1" s="7" customFormat="1" ht="15" customHeight="1" x14ac:dyDescent="0.25">
      <c r="A36" s="4"/>
    </row>
    <row r="37" spans="1:1" s="7" customFormat="1" ht="15" customHeight="1" x14ac:dyDescent="0.25">
      <c r="A37" s="4"/>
    </row>
    <row r="38" spans="1:1" s="7" customFormat="1" ht="15" customHeight="1" x14ac:dyDescent="0.25">
      <c r="A38" s="4"/>
    </row>
    <row r="39" spans="1:1" s="7" customFormat="1" ht="15" customHeight="1" x14ac:dyDescent="0.25">
      <c r="A39" s="4"/>
    </row>
    <row r="40" spans="1:1" s="7" customFormat="1" ht="15" customHeight="1" x14ac:dyDescent="0.25">
      <c r="A40" s="4"/>
    </row>
    <row r="41" spans="1:1" s="7" customFormat="1" ht="15" customHeight="1" x14ac:dyDescent="0.25">
      <c r="A41" s="4"/>
    </row>
    <row r="42" spans="1:1" s="7" customFormat="1" ht="15" customHeight="1" x14ac:dyDescent="0.25">
      <c r="A42" s="4"/>
    </row>
    <row r="43" spans="1:1" s="7" customFormat="1" ht="15" customHeight="1" x14ac:dyDescent="0.25">
      <c r="A43" s="4"/>
    </row>
    <row r="44" spans="1:1" s="7" customFormat="1" ht="15" customHeight="1" x14ac:dyDescent="0.25">
      <c r="A44" s="4"/>
    </row>
    <row r="45" spans="1:1" s="7" customFormat="1" ht="15" customHeight="1" x14ac:dyDescent="0.25">
      <c r="A45" s="4"/>
    </row>
    <row r="46" spans="1:1" s="7" customFormat="1" ht="15" customHeight="1" x14ac:dyDescent="0.25">
      <c r="A46" s="4"/>
    </row>
    <row r="47" spans="1:1" s="7" customFormat="1" ht="15" customHeight="1" x14ac:dyDescent="0.25">
      <c r="A47" s="4"/>
    </row>
    <row r="48" spans="1:1" s="7" customFormat="1" ht="15" customHeight="1" x14ac:dyDescent="0.25">
      <c r="A48" s="4"/>
    </row>
    <row r="49" spans="1:1" s="7" customFormat="1" ht="15" customHeight="1" x14ac:dyDescent="0.25">
      <c r="A49" s="4"/>
    </row>
    <row r="50" spans="1:1" s="7" customFormat="1" ht="15" customHeight="1" x14ac:dyDescent="0.25">
      <c r="A50" s="4"/>
    </row>
    <row r="51" spans="1:1" s="7" customFormat="1" ht="15" customHeight="1" x14ac:dyDescent="0.25">
      <c r="A51" s="4"/>
    </row>
    <row r="52" spans="1:1" s="7" customFormat="1" ht="15" customHeight="1" x14ac:dyDescent="0.25">
      <c r="A52" s="4"/>
    </row>
    <row r="53" spans="1:1" s="7" customFormat="1" ht="15" customHeight="1" x14ac:dyDescent="0.25">
      <c r="A53" s="4"/>
    </row>
    <row r="54" spans="1:1" s="7" customFormat="1" ht="15" customHeight="1" x14ac:dyDescent="0.25">
      <c r="A54" s="4"/>
    </row>
    <row r="55" spans="1:1" s="7" customFormat="1" ht="15" customHeight="1" x14ac:dyDescent="0.25">
      <c r="A55" s="4"/>
    </row>
    <row r="56" spans="1:1" s="7" customFormat="1" ht="15" customHeight="1" x14ac:dyDescent="0.25">
      <c r="A56" s="4"/>
    </row>
    <row r="57" spans="1:1" s="7" customFormat="1" ht="15" customHeight="1" x14ac:dyDescent="0.25">
      <c r="A57" s="4"/>
    </row>
    <row r="58" spans="1:1" s="7" customFormat="1" ht="15" customHeight="1" x14ac:dyDescent="0.25">
      <c r="A58" s="4"/>
    </row>
    <row r="59" spans="1:1" s="7" customFormat="1" ht="15" customHeight="1" x14ac:dyDescent="0.25">
      <c r="A59" s="4"/>
    </row>
    <row r="60" spans="1:1" s="7" customFormat="1" ht="15" customHeight="1" x14ac:dyDescent="0.25">
      <c r="A60" s="4"/>
    </row>
    <row r="61" spans="1:1" s="7" customFormat="1" ht="15" customHeight="1" x14ac:dyDescent="0.25">
      <c r="A61" s="4"/>
    </row>
    <row r="62" spans="1:1" s="7" customFormat="1" ht="15" customHeight="1" x14ac:dyDescent="0.25">
      <c r="A62" s="4"/>
    </row>
    <row r="63" spans="1:1" s="7" customFormat="1" ht="15" customHeight="1" x14ac:dyDescent="0.25">
      <c r="A63" s="4"/>
    </row>
    <row r="64" spans="1:1" s="7" customFormat="1" ht="15" customHeight="1" x14ac:dyDescent="0.25">
      <c r="A64" s="4"/>
    </row>
    <row r="65" spans="1:1" s="7" customFormat="1" ht="15" customHeight="1" x14ac:dyDescent="0.25">
      <c r="A65" s="4"/>
    </row>
    <row r="66" spans="1:1" s="7" customFormat="1" ht="15" customHeight="1" x14ac:dyDescent="0.25">
      <c r="A66" s="4"/>
    </row>
    <row r="67" spans="1:1" s="7" customFormat="1" ht="15" customHeight="1" x14ac:dyDescent="0.25">
      <c r="A67" s="4"/>
    </row>
    <row r="68" spans="1:1" s="7" customFormat="1" ht="15" customHeight="1" x14ac:dyDescent="0.25">
      <c r="A68" s="4"/>
    </row>
    <row r="69" spans="1:1" s="7" customFormat="1" ht="15" customHeight="1" x14ac:dyDescent="0.25">
      <c r="A69" s="4"/>
    </row>
    <row r="70" spans="1:1" s="7" customFormat="1" ht="15" customHeight="1" x14ac:dyDescent="0.25">
      <c r="A70" s="4"/>
    </row>
    <row r="71" spans="1:1" s="7" customFormat="1" ht="15" customHeight="1" x14ac:dyDescent="0.25">
      <c r="A71" s="4"/>
    </row>
    <row r="72" spans="1:1" s="7" customFormat="1" ht="15" customHeight="1" x14ac:dyDescent="0.25">
      <c r="A72" s="4"/>
    </row>
    <row r="73" spans="1:1" s="7" customFormat="1" ht="15" customHeight="1" x14ac:dyDescent="0.25">
      <c r="A73" s="4"/>
    </row>
    <row r="74" spans="1:1" s="7" customFormat="1" ht="15" customHeight="1" x14ac:dyDescent="0.25">
      <c r="A74" s="4"/>
    </row>
    <row r="75" spans="1:1" s="7" customFormat="1" ht="15" customHeight="1" x14ac:dyDescent="0.25">
      <c r="A75" s="4"/>
    </row>
    <row r="76" spans="1:1" s="7" customFormat="1" ht="15" customHeight="1" x14ac:dyDescent="0.25">
      <c r="A76" s="4"/>
    </row>
    <row r="77" spans="1:1" s="7" customFormat="1" ht="15" customHeight="1" x14ac:dyDescent="0.25">
      <c r="A77" s="4"/>
    </row>
    <row r="78" spans="1:1" s="7" customFormat="1" ht="15" customHeight="1" x14ac:dyDescent="0.25">
      <c r="A78" s="4"/>
    </row>
    <row r="79" spans="1:1" s="7" customFormat="1" ht="15" customHeight="1" x14ac:dyDescent="0.25">
      <c r="A79" s="4"/>
    </row>
    <row r="80" spans="1:1" s="7" customFormat="1" ht="15" customHeight="1" x14ac:dyDescent="0.25">
      <c r="A80" s="4"/>
    </row>
    <row r="81" spans="1:1" s="7" customFormat="1" ht="15" customHeight="1" x14ac:dyDescent="0.25">
      <c r="A81" s="4"/>
    </row>
    <row r="82" spans="1:1" s="7" customFormat="1" ht="15" customHeight="1" x14ac:dyDescent="0.25">
      <c r="A82" s="4"/>
    </row>
    <row r="83" spans="1:1" s="7" customFormat="1" ht="15" customHeight="1" x14ac:dyDescent="0.25">
      <c r="A83" s="4"/>
    </row>
    <row r="84" spans="1:1" s="7" customFormat="1" ht="15" customHeight="1" x14ac:dyDescent="0.25">
      <c r="A84" s="4"/>
    </row>
    <row r="85" spans="1:1" s="7" customFormat="1" ht="15" customHeight="1" x14ac:dyDescent="0.25">
      <c r="A85" s="4"/>
    </row>
    <row r="86" spans="1:1" s="7" customFormat="1" ht="15" customHeight="1" x14ac:dyDescent="0.25">
      <c r="A86" s="4"/>
    </row>
    <row r="87" spans="1:1" s="7" customFormat="1" ht="15" customHeight="1" x14ac:dyDescent="0.25">
      <c r="A87" s="4"/>
    </row>
    <row r="88" spans="1:1" s="7" customFormat="1" ht="15" customHeight="1" x14ac:dyDescent="0.25">
      <c r="A88" s="4"/>
    </row>
    <row r="89" spans="1:1" s="7" customFormat="1" ht="15" customHeight="1" x14ac:dyDescent="0.25">
      <c r="A89" s="4"/>
    </row>
    <row r="90" spans="1:1" s="7" customFormat="1" ht="15" customHeight="1" x14ac:dyDescent="0.25">
      <c r="A90" s="4"/>
    </row>
    <row r="91" spans="1:1" s="7" customFormat="1" ht="15" customHeight="1" x14ac:dyDescent="0.25">
      <c r="A91" s="4"/>
    </row>
    <row r="92" spans="1:1" s="7" customFormat="1" ht="15" customHeight="1" x14ac:dyDescent="0.25">
      <c r="A92" s="4"/>
    </row>
    <row r="93" spans="1:1" s="7" customFormat="1" ht="15" customHeight="1" x14ac:dyDescent="0.25">
      <c r="A93" s="4"/>
    </row>
    <row r="94" spans="1:1" s="7" customFormat="1" ht="15" customHeight="1" x14ac:dyDescent="0.25">
      <c r="A94" s="4"/>
    </row>
    <row r="95" spans="1:1" s="7" customFormat="1" ht="15" customHeight="1" x14ac:dyDescent="0.25">
      <c r="A95" s="4"/>
    </row>
    <row r="96" spans="1:1" s="7" customFormat="1" ht="15" customHeight="1" x14ac:dyDescent="0.25">
      <c r="A96" s="4"/>
    </row>
    <row r="97" spans="1:1" s="7" customFormat="1" ht="15" customHeight="1" x14ac:dyDescent="0.25">
      <c r="A97" s="4"/>
    </row>
    <row r="98" spans="1:1" s="7" customFormat="1" ht="15" customHeight="1" x14ac:dyDescent="0.25">
      <c r="A98" s="4"/>
    </row>
    <row r="99" spans="1:1" s="7" customFormat="1" ht="15" customHeight="1" x14ac:dyDescent="0.25">
      <c r="A99" s="4"/>
    </row>
    <row r="100" spans="1:1" s="7" customFormat="1" ht="15" customHeight="1" x14ac:dyDescent="0.25">
      <c r="A100" s="4"/>
    </row>
    <row r="101" spans="1:1" s="7" customFormat="1" ht="15" customHeight="1" x14ac:dyDescent="0.25">
      <c r="A101" s="4"/>
    </row>
  </sheetData>
  <mergeCells count="1">
    <mergeCell ref="D3:P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José Antonio</cp:lastModifiedBy>
  <dcterms:created xsi:type="dcterms:W3CDTF">2024-12-19T13:13:10Z</dcterms:created>
  <dcterms:modified xsi:type="dcterms:W3CDTF">2026-10-08T20:03:29Z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